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8890e77a953a707/Desktop/Masterarbeit/"/>
    </mc:Choice>
  </mc:AlternateContent>
  <xr:revisionPtr revIDLastSave="10" documentId="13_ncr:1_{5F71C045-3473-47AE-8259-08F16CFCEB6E}" xr6:coauthVersionLast="47" xr6:coauthVersionMax="47" xr10:uidLastSave="{19B2C50E-EB36-4427-A81F-5C1D3BE7F3F6}"/>
  <bookViews>
    <workbookView xWindow="-120" yWindow="-120" windowWidth="29040" windowHeight="15720" activeTab="10" xr2:uid="{1327037A-1A8D-4D9F-ADDF-A59423458361}"/>
  </bookViews>
  <sheets>
    <sheet name="Datenabzug" sheetId="1" r:id="rId1"/>
    <sheet name="Returns" sheetId="2" r:id="rId2"/>
    <sheet name="BAKO" sheetId="3" r:id="rId3"/>
    <sheet name="Kovarianz" sheetId="4" r:id="rId4"/>
    <sheet name="Korrelation" sheetId="11" r:id="rId5"/>
    <sheet name="EW" sheetId="5" r:id="rId6"/>
    <sheet name="MV" sheetId="6" r:id="rId7"/>
    <sheet name="MD" sheetId="7" r:id="rId8"/>
    <sheet name="IV" sheetId="8" r:id="rId9"/>
    <sheet name="ERC" sheetId="9" r:id="rId10"/>
    <sheet name="HRP" sheetId="10" r:id="rId11"/>
  </sheets>
  <definedNames>
    <definedName name="_xleta.ROUND" hidden="1" xlm="1">#NAME?</definedName>
    <definedName name="_xleta.STDEVP" hidden="1" xlm="1">#NAME?</definedName>
    <definedName name="_xleta.SUM" hidden="1" xlm="1">#NAME?</definedName>
    <definedName name="solver_adj" localSheetId="9" hidden="1">ERC!$B$31:$B$40</definedName>
    <definedName name="solver_adj" localSheetId="7" hidden="1">MD!$B$26:$B$35</definedName>
    <definedName name="solver_adj" localSheetId="6" hidden="1">MV!$B$17:$B$26</definedName>
    <definedName name="solver_cvg" localSheetId="9" hidden="1">0.0001</definedName>
    <definedName name="solver_cvg" localSheetId="7" hidden="1">0.0001</definedName>
    <definedName name="solver_cvg" localSheetId="6" hidden="1">0.0001</definedName>
    <definedName name="solver_drv" localSheetId="9" hidden="1">1</definedName>
    <definedName name="solver_drv" localSheetId="7" hidden="1">2</definedName>
    <definedName name="solver_drv" localSheetId="6" hidden="1">2</definedName>
    <definedName name="solver_eng" localSheetId="9" hidden="1">1</definedName>
    <definedName name="solver_eng" localSheetId="7" hidden="1">1</definedName>
    <definedName name="solver_eng" localSheetId="6" hidden="1">1</definedName>
    <definedName name="solver_est" localSheetId="9" hidden="1">1</definedName>
    <definedName name="solver_est" localSheetId="7" hidden="1">1</definedName>
    <definedName name="solver_est" localSheetId="6" hidden="1">1</definedName>
    <definedName name="solver_itr" localSheetId="9" hidden="1">2147483647</definedName>
    <definedName name="solver_itr" localSheetId="7" hidden="1">2147483647</definedName>
    <definedName name="solver_itr" localSheetId="6" hidden="1">2147483647</definedName>
    <definedName name="solver_lhs1" localSheetId="9" hidden="1">ERC!$B$31:$B$40</definedName>
    <definedName name="solver_lhs1" localSheetId="7" hidden="1">MD!$B$26:$B$35</definedName>
    <definedName name="solver_lhs1" localSheetId="6" hidden="1">MV!$G$17</definedName>
    <definedName name="solver_lhs2" localSheetId="9" hidden="1">ERC!$B$42</definedName>
    <definedName name="solver_lhs2" localSheetId="7" hidden="1">MD!$M$35</definedName>
    <definedName name="solver_lhs2" localSheetId="6" hidden="1">MV!$B$17:$B$26</definedName>
    <definedName name="solver_mip" localSheetId="9" hidden="1">2147483647</definedName>
    <definedName name="solver_mip" localSheetId="7" hidden="1">2147483647</definedName>
    <definedName name="solver_mip" localSheetId="6" hidden="1">2147483647</definedName>
    <definedName name="solver_mni" localSheetId="9" hidden="1">30</definedName>
    <definedName name="solver_mni" localSheetId="7" hidden="1">30</definedName>
    <definedName name="solver_mni" localSheetId="6" hidden="1">30</definedName>
    <definedName name="solver_mrt" localSheetId="9" hidden="1">0.075</definedName>
    <definedName name="solver_mrt" localSheetId="7" hidden="1">0.075</definedName>
    <definedName name="solver_mrt" localSheetId="6" hidden="1">0.075</definedName>
    <definedName name="solver_msl" localSheetId="9" hidden="1">2</definedName>
    <definedName name="solver_msl" localSheetId="7" hidden="1">2</definedName>
    <definedName name="solver_msl" localSheetId="6" hidden="1">2</definedName>
    <definedName name="solver_neg" localSheetId="9" hidden="1">1</definedName>
    <definedName name="solver_neg" localSheetId="7" hidden="1">1</definedName>
    <definedName name="solver_neg" localSheetId="6" hidden="1">1</definedName>
    <definedName name="solver_nod" localSheetId="9" hidden="1">2147483647</definedName>
    <definedName name="solver_nod" localSheetId="7" hidden="1">2147483647</definedName>
    <definedName name="solver_nod" localSheetId="6" hidden="1">2147483647</definedName>
    <definedName name="solver_num" localSheetId="9" hidden="1">2</definedName>
    <definedName name="solver_num" localSheetId="7" hidden="1">2</definedName>
    <definedName name="solver_num" localSheetId="6" hidden="1">1</definedName>
    <definedName name="solver_nwt" localSheetId="9" hidden="1">1</definedName>
    <definedName name="solver_nwt" localSheetId="7" hidden="1">1</definedName>
    <definedName name="solver_nwt" localSheetId="6" hidden="1">1</definedName>
    <definedName name="solver_opt" localSheetId="9" hidden="1">ERC!$E$57</definedName>
    <definedName name="solver_opt" localSheetId="7" hidden="1">MD!$E$35</definedName>
    <definedName name="solver_opt" localSheetId="6" hidden="1">MV!$E$17</definedName>
    <definedName name="solver_pre" localSheetId="9" hidden="1">0.000001</definedName>
    <definedName name="solver_pre" localSheetId="7" hidden="1">0.000001</definedName>
    <definedName name="solver_pre" localSheetId="6" hidden="1">0.000001</definedName>
    <definedName name="solver_rbv" localSheetId="9" hidden="1">1</definedName>
    <definedName name="solver_rbv" localSheetId="7" hidden="1">2</definedName>
    <definedName name="solver_rbv" localSheetId="6" hidden="1">2</definedName>
    <definedName name="solver_rel1" localSheetId="9" hidden="1">3</definedName>
    <definedName name="solver_rel1" localSheetId="7" hidden="1">3</definedName>
    <definedName name="solver_rel1" localSheetId="6" hidden="1">2</definedName>
    <definedName name="solver_rel2" localSheetId="9" hidden="1">2</definedName>
    <definedName name="solver_rel2" localSheetId="7" hidden="1">2</definedName>
    <definedName name="solver_rel2" localSheetId="6" hidden="1">3</definedName>
    <definedName name="solver_rhs1" localSheetId="9" hidden="1">0</definedName>
    <definedName name="solver_rhs1" localSheetId="7" hidden="1">0</definedName>
    <definedName name="solver_rhs1" localSheetId="6" hidden="1">1</definedName>
    <definedName name="solver_rhs2" localSheetId="9" hidden="1">1</definedName>
    <definedName name="solver_rhs2" localSheetId="7" hidden="1">1</definedName>
    <definedName name="solver_rhs2" localSheetId="6" hidden="1">0</definedName>
    <definedName name="solver_rlx" localSheetId="9" hidden="1">2</definedName>
    <definedName name="solver_rlx" localSheetId="7" hidden="1">2</definedName>
    <definedName name="solver_rlx" localSheetId="6" hidden="1">2</definedName>
    <definedName name="solver_rsd" localSheetId="9" hidden="1">0</definedName>
    <definedName name="solver_rsd" localSheetId="7" hidden="1">0</definedName>
    <definedName name="solver_rsd" localSheetId="6" hidden="1">0</definedName>
    <definedName name="solver_scl" localSheetId="9" hidden="1">1</definedName>
    <definedName name="solver_scl" localSheetId="7" hidden="1">2</definedName>
    <definedName name="solver_scl" localSheetId="6" hidden="1">2</definedName>
    <definedName name="solver_sho" localSheetId="9" hidden="1">2</definedName>
    <definedName name="solver_sho" localSheetId="7" hidden="1">2</definedName>
    <definedName name="solver_sho" localSheetId="6" hidden="1">2</definedName>
    <definedName name="solver_ssz" localSheetId="9" hidden="1">100</definedName>
    <definedName name="solver_ssz" localSheetId="7" hidden="1">100</definedName>
    <definedName name="solver_ssz" localSheetId="6" hidden="1">100</definedName>
    <definedName name="solver_tim" localSheetId="9" hidden="1">2147483647</definedName>
    <definedName name="solver_tim" localSheetId="7" hidden="1">2147483647</definedName>
    <definedName name="solver_tim" localSheetId="6" hidden="1">2147483647</definedName>
    <definedName name="solver_tol" localSheetId="9" hidden="1">0.01</definedName>
    <definedName name="solver_tol" localSheetId="7" hidden="1">0.01</definedName>
    <definedName name="solver_tol" localSheetId="6" hidden="1">0.01</definedName>
    <definedName name="solver_typ" localSheetId="9" hidden="1">2</definedName>
    <definedName name="solver_typ" localSheetId="7" hidden="1">1</definedName>
    <definedName name="solver_typ" localSheetId="6" hidden="1">2</definedName>
    <definedName name="solver_val" localSheetId="9" hidden="1">0</definedName>
    <definedName name="solver_val" localSheetId="7" hidden="1">0</definedName>
    <definedName name="solver_val" localSheetId="6" hidden="1">0</definedName>
    <definedName name="solver_ver" localSheetId="9" hidden="1">3</definedName>
    <definedName name="solver_ver" localSheetId="7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7" i="9" l="1"/>
  <c r="D16" i="9"/>
  <c r="E16" i="9"/>
  <c r="C13" i="8"/>
  <c r="E8" i="7"/>
  <c r="E11" i="7"/>
  <c r="P2" i="7"/>
  <c r="O2" i="7"/>
  <c r="P12" i="7" s="1"/>
  <c r="E17" i="6" a="1"/>
  <c r="E17" i="6" s="1"/>
  <c r="M396" i="5"/>
  <c r="M395" i="5"/>
  <c r="M394" i="5"/>
  <c r="M393" i="5"/>
  <c r="M392" i="5"/>
  <c r="M391" i="5"/>
  <c r="M390" i="5"/>
  <c r="M389" i="5"/>
  <c r="M388" i="5"/>
  <c r="M387" i="5"/>
  <c r="M386" i="5"/>
  <c r="M385" i="5"/>
  <c r="M384" i="5"/>
  <c r="M383" i="5"/>
  <c r="M382" i="5"/>
  <c r="M381" i="5"/>
  <c r="M380" i="5"/>
  <c r="M379" i="5"/>
  <c r="M378" i="5"/>
  <c r="M377" i="5"/>
  <c r="M376" i="5"/>
  <c r="M375" i="5"/>
  <c r="M374" i="5"/>
  <c r="M373" i="5"/>
  <c r="M372" i="5"/>
  <c r="M371" i="5"/>
  <c r="M370" i="5"/>
  <c r="M369" i="5"/>
  <c r="M368" i="5"/>
  <c r="M367" i="5"/>
  <c r="M366" i="5"/>
  <c r="M365" i="5"/>
  <c r="M364" i="5"/>
  <c r="M363" i="5"/>
  <c r="M362" i="5"/>
  <c r="M361" i="5"/>
  <c r="M360" i="5"/>
  <c r="M359" i="5"/>
  <c r="M358" i="5"/>
  <c r="M357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4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16" i="5"/>
  <c r="M315" i="5"/>
  <c r="M314" i="5"/>
  <c r="M313" i="5"/>
  <c r="M312" i="5"/>
  <c r="M311" i="5"/>
  <c r="M310" i="5"/>
  <c r="M309" i="5"/>
  <c r="M308" i="5"/>
  <c r="M307" i="5"/>
  <c r="M306" i="5"/>
  <c r="M305" i="5"/>
  <c r="M304" i="5"/>
  <c r="M303" i="5"/>
  <c r="M302" i="5"/>
  <c r="M301" i="5"/>
  <c r="M300" i="5"/>
  <c r="M299" i="5"/>
  <c r="M298" i="5"/>
  <c r="M297" i="5"/>
  <c r="M296" i="5"/>
  <c r="M295" i="5"/>
  <c r="M294" i="5"/>
  <c r="M293" i="5"/>
  <c r="M292" i="5"/>
  <c r="M291" i="5"/>
  <c r="M290" i="5"/>
  <c r="M289" i="5"/>
  <c r="M288" i="5"/>
  <c r="M287" i="5"/>
  <c r="M286" i="5"/>
  <c r="M285" i="5"/>
  <c r="M284" i="5"/>
  <c r="M283" i="5"/>
  <c r="M282" i="5"/>
  <c r="M281" i="5"/>
  <c r="M280" i="5"/>
  <c r="M279" i="5"/>
  <c r="M278" i="5"/>
  <c r="M277" i="5"/>
  <c r="M276" i="5"/>
  <c r="M275" i="5"/>
  <c r="M274" i="5"/>
  <c r="M273" i="5"/>
  <c r="M272" i="5"/>
  <c r="M271" i="5"/>
  <c r="M270" i="5"/>
  <c r="M269" i="5"/>
  <c r="M268" i="5"/>
  <c r="M267" i="5"/>
  <c r="M266" i="5"/>
  <c r="M265" i="5"/>
  <c r="M264" i="5"/>
  <c r="M263" i="5"/>
  <c r="M262" i="5"/>
  <c r="M261" i="5"/>
  <c r="M260" i="5"/>
  <c r="M259" i="5"/>
  <c r="M258" i="5"/>
  <c r="M257" i="5"/>
  <c r="M256" i="5"/>
  <c r="M255" i="5"/>
  <c r="M254" i="5"/>
  <c r="M253" i="5"/>
  <c r="M252" i="5"/>
  <c r="M251" i="5"/>
  <c r="M250" i="5"/>
  <c r="M249" i="5"/>
  <c r="M248" i="5"/>
  <c r="M247" i="5"/>
  <c r="M246" i="5"/>
  <c r="M245" i="5"/>
  <c r="M244" i="5"/>
  <c r="M243" i="5"/>
  <c r="M242" i="5"/>
  <c r="M241" i="5"/>
  <c r="M240" i="5"/>
  <c r="M239" i="5"/>
  <c r="M238" i="5"/>
  <c r="M237" i="5"/>
  <c r="M236" i="5"/>
  <c r="M235" i="5"/>
  <c r="M234" i="5"/>
  <c r="M233" i="5"/>
  <c r="M232" i="5"/>
  <c r="M231" i="5"/>
  <c r="M230" i="5"/>
  <c r="M229" i="5"/>
  <c r="M228" i="5"/>
  <c r="M227" i="5"/>
  <c r="M226" i="5"/>
  <c r="M225" i="5"/>
  <c r="M224" i="5"/>
  <c r="M223" i="5"/>
  <c r="M222" i="5"/>
  <c r="M221" i="5"/>
  <c r="M220" i="5"/>
  <c r="M219" i="5"/>
  <c r="M218" i="5"/>
  <c r="M217" i="5"/>
  <c r="M216" i="5"/>
  <c r="M215" i="5"/>
  <c r="M214" i="5"/>
  <c r="M213" i="5"/>
  <c r="M212" i="5"/>
  <c r="M211" i="5"/>
  <c r="M210" i="5"/>
  <c r="M209" i="5"/>
  <c r="M208" i="5"/>
  <c r="M207" i="5"/>
  <c r="M206" i="5"/>
  <c r="M205" i="5"/>
  <c r="M204" i="5"/>
  <c r="M203" i="5"/>
  <c r="M202" i="5"/>
  <c r="M201" i="5"/>
  <c r="M200" i="5"/>
  <c r="M199" i="5"/>
  <c r="M198" i="5"/>
  <c r="M197" i="5"/>
  <c r="M196" i="5"/>
  <c r="M195" i="5"/>
  <c r="M194" i="5"/>
  <c r="M193" i="5"/>
  <c r="M192" i="5"/>
  <c r="M191" i="5"/>
  <c r="M190" i="5"/>
  <c r="M189" i="5"/>
  <c r="M188" i="5"/>
  <c r="M187" i="5"/>
  <c r="M186" i="5"/>
  <c r="M185" i="5"/>
  <c r="M184" i="5"/>
  <c r="M183" i="5"/>
  <c r="M182" i="5"/>
  <c r="M181" i="5"/>
  <c r="M180" i="5"/>
  <c r="M179" i="5"/>
  <c r="M178" i="5"/>
  <c r="M177" i="5"/>
  <c r="M176" i="5"/>
  <c r="M175" i="5"/>
  <c r="M174" i="5"/>
  <c r="M173" i="5"/>
  <c r="M172" i="5"/>
  <c r="M171" i="5"/>
  <c r="M170" i="5"/>
  <c r="M169" i="5"/>
  <c r="M168" i="5"/>
  <c r="M167" i="5"/>
  <c r="M166" i="5"/>
  <c r="M165" i="5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" i="5"/>
  <c r="B42" i="9"/>
  <c r="C67" i="10"/>
  <c r="B67" i="10"/>
  <c r="M71" i="10"/>
  <c r="M70" i="10"/>
  <c r="C70" i="10"/>
  <c r="B71" i="10"/>
  <c r="D65" i="10"/>
  <c r="M65" i="10" s="1"/>
  <c r="M61" i="10"/>
  <c r="M60" i="10"/>
  <c r="M59" i="10"/>
  <c r="C62" i="10"/>
  <c r="B62" i="10"/>
  <c r="M55" i="10"/>
  <c r="M54" i="10"/>
  <c r="M53" i="10"/>
  <c r="M52" i="10"/>
  <c r="D56" i="10"/>
  <c r="C56" i="10"/>
  <c r="D62" i="10" s="1"/>
  <c r="D66" i="10" s="1"/>
  <c r="M66" i="10" s="1"/>
  <c r="B56" i="10"/>
  <c r="M48" i="10"/>
  <c r="M47" i="10"/>
  <c r="M46" i="10"/>
  <c r="M45" i="10"/>
  <c r="M44" i="10"/>
  <c r="E49" i="10"/>
  <c r="D49" i="10"/>
  <c r="C49" i="10"/>
  <c r="E56" i="10" s="1"/>
  <c r="B49" i="10"/>
  <c r="M40" i="10"/>
  <c r="M39" i="10"/>
  <c r="M38" i="10"/>
  <c r="M37" i="10"/>
  <c r="M36" i="10"/>
  <c r="M35" i="10"/>
  <c r="G41" i="10"/>
  <c r="F41" i="10"/>
  <c r="E41" i="10"/>
  <c r="D41" i="10"/>
  <c r="F49" i="10" s="1"/>
  <c r="C41" i="10"/>
  <c r="B41" i="10"/>
  <c r="M29" i="10"/>
  <c r="M28" i="10"/>
  <c r="M27" i="10"/>
  <c r="M26" i="10"/>
  <c r="M25" i="10"/>
  <c r="M31" i="10"/>
  <c r="M30" i="10"/>
  <c r="G32" i="10"/>
  <c r="F32" i="10"/>
  <c r="E32" i="10"/>
  <c r="D32" i="10"/>
  <c r="C32" i="10"/>
  <c r="B32" i="10"/>
  <c r="M16" i="10"/>
  <c r="M15" i="10"/>
  <c r="M14" i="10"/>
  <c r="M21" i="10"/>
  <c r="M20" i="10"/>
  <c r="M19" i="10"/>
  <c r="M18" i="10"/>
  <c r="M17" i="10"/>
  <c r="B11" i="9"/>
  <c r="B10" i="9"/>
  <c r="B9" i="9"/>
  <c r="B8" i="9"/>
  <c r="B7" i="9"/>
  <c r="B6" i="9"/>
  <c r="B5" i="9"/>
  <c r="B4" i="9"/>
  <c r="B3" i="9"/>
  <c r="B2" i="9"/>
  <c r="P3" i="7"/>
  <c r="P4" i="7"/>
  <c r="P5" i="7"/>
  <c r="P6" i="7"/>
  <c r="P7" i="7"/>
  <c r="P8" i="7"/>
  <c r="P9" i="7"/>
  <c r="P10" i="7"/>
  <c r="P11" i="7"/>
  <c r="O3" i="7"/>
  <c r="O4" i="7"/>
  <c r="O5" i="7"/>
  <c r="O6" i="7"/>
  <c r="O7" i="7"/>
  <c r="O8" i="7"/>
  <c r="O9" i="7"/>
  <c r="O10" i="7"/>
  <c r="O11" i="7"/>
  <c r="M35" i="7"/>
  <c r="G17" i="6"/>
  <c r="B3" i="6"/>
  <c r="B4" i="6"/>
  <c r="B5" i="6"/>
  <c r="B6" i="6"/>
  <c r="B7" i="6"/>
  <c r="B8" i="6"/>
  <c r="B9" i="6"/>
  <c r="B10" i="6"/>
  <c r="B11" i="6"/>
  <c r="B2" i="6"/>
  <c r="B4" i="2"/>
  <c r="C4" i="2"/>
  <c r="D4" i="2"/>
  <c r="E4" i="2"/>
  <c r="F4" i="2"/>
  <c r="G4" i="2"/>
  <c r="H4" i="2"/>
  <c r="I4" i="2"/>
  <c r="J4" i="2"/>
  <c r="K4" i="2"/>
  <c r="B5" i="2"/>
  <c r="C5" i="2"/>
  <c r="D5" i="2"/>
  <c r="E5" i="2"/>
  <c r="F5" i="2"/>
  <c r="G5" i="2"/>
  <c r="H5" i="2"/>
  <c r="I5" i="2"/>
  <c r="J5" i="2"/>
  <c r="K5" i="2"/>
  <c r="B6" i="2"/>
  <c r="C6" i="2"/>
  <c r="D6" i="2"/>
  <c r="E6" i="2"/>
  <c r="F6" i="2"/>
  <c r="G6" i="2"/>
  <c r="H6" i="2"/>
  <c r="I6" i="2"/>
  <c r="J6" i="2"/>
  <c r="K6" i="2"/>
  <c r="B7" i="2"/>
  <c r="C7" i="2"/>
  <c r="D7" i="2"/>
  <c r="E7" i="2"/>
  <c r="F7" i="2"/>
  <c r="G7" i="2"/>
  <c r="H7" i="2"/>
  <c r="I7" i="2"/>
  <c r="J7" i="2"/>
  <c r="K7" i="2"/>
  <c r="B8" i="2"/>
  <c r="C8" i="2"/>
  <c r="D8" i="2"/>
  <c r="E8" i="2"/>
  <c r="F8" i="2"/>
  <c r="G8" i="2"/>
  <c r="H8" i="2"/>
  <c r="I8" i="2"/>
  <c r="J8" i="2"/>
  <c r="K8" i="2"/>
  <c r="B9" i="2"/>
  <c r="C9" i="2"/>
  <c r="D9" i="2"/>
  <c r="E9" i="2"/>
  <c r="F9" i="2"/>
  <c r="G9" i="2"/>
  <c r="H9" i="2"/>
  <c r="I9" i="2"/>
  <c r="J9" i="2"/>
  <c r="K9" i="2"/>
  <c r="B10" i="2"/>
  <c r="C10" i="2"/>
  <c r="D10" i="2"/>
  <c r="E10" i="2"/>
  <c r="F10" i="2"/>
  <c r="G10" i="2"/>
  <c r="H10" i="2"/>
  <c r="I10" i="2"/>
  <c r="J10" i="2"/>
  <c r="K10" i="2"/>
  <c r="B11" i="2"/>
  <c r="C11" i="2"/>
  <c r="D11" i="2"/>
  <c r="E11" i="2"/>
  <c r="F11" i="2"/>
  <c r="G11" i="2"/>
  <c r="H11" i="2"/>
  <c r="I11" i="2"/>
  <c r="J11" i="2"/>
  <c r="K11" i="2"/>
  <c r="B12" i="2"/>
  <c r="C12" i="2"/>
  <c r="D12" i="2"/>
  <c r="E12" i="2"/>
  <c r="F12" i="2"/>
  <c r="G12" i="2"/>
  <c r="H12" i="2"/>
  <c r="I12" i="2"/>
  <c r="J12" i="2"/>
  <c r="K12" i="2"/>
  <c r="B13" i="2"/>
  <c r="C13" i="2"/>
  <c r="D13" i="2"/>
  <c r="E13" i="2"/>
  <c r="F13" i="2"/>
  <c r="G13" i="2"/>
  <c r="H13" i="2"/>
  <c r="I13" i="2"/>
  <c r="J13" i="2"/>
  <c r="K13" i="2"/>
  <c r="B14" i="2"/>
  <c r="C14" i="2"/>
  <c r="D14" i="2"/>
  <c r="E14" i="2"/>
  <c r="F14" i="2"/>
  <c r="G14" i="2"/>
  <c r="H14" i="2"/>
  <c r="I14" i="2"/>
  <c r="J14" i="2"/>
  <c r="K14" i="2"/>
  <c r="B15" i="2"/>
  <c r="C15" i="2"/>
  <c r="D15" i="2"/>
  <c r="E15" i="2"/>
  <c r="F15" i="2"/>
  <c r="G15" i="2"/>
  <c r="H15" i="2"/>
  <c r="I15" i="2"/>
  <c r="J15" i="2"/>
  <c r="K15" i="2"/>
  <c r="B16" i="2"/>
  <c r="C16" i="2"/>
  <c r="D16" i="2"/>
  <c r="E16" i="2"/>
  <c r="F16" i="2"/>
  <c r="G16" i="2"/>
  <c r="H16" i="2"/>
  <c r="I16" i="2"/>
  <c r="J16" i="2"/>
  <c r="K16" i="2"/>
  <c r="B17" i="2"/>
  <c r="C17" i="2"/>
  <c r="D17" i="2"/>
  <c r="E17" i="2"/>
  <c r="F17" i="2"/>
  <c r="G17" i="2"/>
  <c r="H17" i="2"/>
  <c r="I17" i="2"/>
  <c r="J17" i="2"/>
  <c r="K17" i="2"/>
  <c r="B18" i="2"/>
  <c r="C18" i="2"/>
  <c r="D18" i="2"/>
  <c r="E18" i="2"/>
  <c r="F18" i="2"/>
  <c r="G18" i="2"/>
  <c r="H18" i="2"/>
  <c r="I18" i="2"/>
  <c r="J18" i="2"/>
  <c r="K18" i="2"/>
  <c r="B19" i="2"/>
  <c r="C19" i="2"/>
  <c r="D19" i="2"/>
  <c r="E19" i="2"/>
  <c r="F19" i="2"/>
  <c r="G19" i="2"/>
  <c r="H19" i="2"/>
  <c r="I19" i="2"/>
  <c r="J19" i="2"/>
  <c r="K19" i="2"/>
  <c r="B20" i="2"/>
  <c r="C20" i="2"/>
  <c r="D20" i="2"/>
  <c r="E20" i="2"/>
  <c r="F20" i="2"/>
  <c r="G20" i="2"/>
  <c r="H20" i="2"/>
  <c r="I20" i="2"/>
  <c r="J20" i="2"/>
  <c r="K20" i="2"/>
  <c r="B21" i="2"/>
  <c r="C21" i="2"/>
  <c r="D21" i="2"/>
  <c r="E21" i="2"/>
  <c r="F21" i="2"/>
  <c r="G21" i="2"/>
  <c r="H21" i="2"/>
  <c r="I21" i="2"/>
  <c r="J21" i="2"/>
  <c r="K21" i="2"/>
  <c r="B22" i="2"/>
  <c r="C22" i="2"/>
  <c r="D22" i="2"/>
  <c r="E22" i="2"/>
  <c r="F22" i="2"/>
  <c r="G22" i="2"/>
  <c r="H22" i="2"/>
  <c r="I22" i="2"/>
  <c r="J22" i="2"/>
  <c r="K22" i="2"/>
  <c r="B23" i="2"/>
  <c r="C23" i="2"/>
  <c r="D23" i="2"/>
  <c r="E23" i="2"/>
  <c r="F23" i="2"/>
  <c r="G23" i="2"/>
  <c r="H23" i="2"/>
  <c r="I23" i="2"/>
  <c r="J23" i="2"/>
  <c r="K23" i="2"/>
  <c r="B24" i="2"/>
  <c r="C24" i="2"/>
  <c r="D24" i="2"/>
  <c r="E24" i="2"/>
  <c r="F24" i="2"/>
  <c r="G24" i="2"/>
  <c r="H24" i="2"/>
  <c r="I24" i="2"/>
  <c r="J24" i="2"/>
  <c r="K24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K39" i="2"/>
  <c r="B40" i="2"/>
  <c r="C40" i="2"/>
  <c r="D40" i="2"/>
  <c r="E40" i="2"/>
  <c r="F40" i="2"/>
  <c r="G40" i="2"/>
  <c r="H40" i="2"/>
  <c r="I40" i="2"/>
  <c r="J40" i="2"/>
  <c r="K40" i="2"/>
  <c r="B41" i="2"/>
  <c r="C41" i="2"/>
  <c r="D41" i="2"/>
  <c r="E41" i="2"/>
  <c r="F41" i="2"/>
  <c r="G41" i="2"/>
  <c r="H41" i="2"/>
  <c r="I41" i="2"/>
  <c r="J41" i="2"/>
  <c r="K41" i="2"/>
  <c r="B42" i="2"/>
  <c r="C42" i="2"/>
  <c r="D42" i="2"/>
  <c r="E42" i="2"/>
  <c r="F42" i="2"/>
  <c r="G42" i="2"/>
  <c r="H42" i="2"/>
  <c r="I42" i="2"/>
  <c r="J42" i="2"/>
  <c r="K42" i="2"/>
  <c r="B43" i="2"/>
  <c r="C43" i="2"/>
  <c r="D43" i="2"/>
  <c r="E43" i="2"/>
  <c r="F43" i="2"/>
  <c r="G43" i="2"/>
  <c r="H43" i="2"/>
  <c r="I43" i="2"/>
  <c r="J43" i="2"/>
  <c r="K43" i="2"/>
  <c r="B44" i="2"/>
  <c r="C44" i="2"/>
  <c r="D44" i="2"/>
  <c r="E44" i="2"/>
  <c r="F44" i="2"/>
  <c r="G44" i="2"/>
  <c r="H44" i="2"/>
  <c r="I44" i="2"/>
  <c r="J44" i="2"/>
  <c r="K44" i="2"/>
  <c r="B45" i="2"/>
  <c r="C45" i="2"/>
  <c r="D45" i="2"/>
  <c r="E45" i="2"/>
  <c r="F45" i="2"/>
  <c r="G45" i="2"/>
  <c r="H45" i="2"/>
  <c r="I45" i="2"/>
  <c r="J45" i="2"/>
  <c r="K45" i="2"/>
  <c r="B46" i="2"/>
  <c r="C46" i="2"/>
  <c r="D46" i="2"/>
  <c r="E46" i="2"/>
  <c r="F46" i="2"/>
  <c r="G46" i="2"/>
  <c r="H46" i="2"/>
  <c r="I46" i="2"/>
  <c r="J46" i="2"/>
  <c r="K46" i="2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F49" i="2"/>
  <c r="G49" i="2"/>
  <c r="H49" i="2"/>
  <c r="I49" i="2"/>
  <c r="J49" i="2"/>
  <c r="K49" i="2"/>
  <c r="B50" i="2"/>
  <c r="C50" i="2"/>
  <c r="D50" i="2"/>
  <c r="E50" i="2"/>
  <c r="F50" i="2"/>
  <c r="G50" i="2"/>
  <c r="H50" i="2"/>
  <c r="I50" i="2"/>
  <c r="J50" i="2"/>
  <c r="K50" i="2"/>
  <c r="B51" i="2"/>
  <c r="C51" i="2"/>
  <c r="D51" i="2"/>
  <c r="E51" i="2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E53" i="2"/>
  <c r="F53" i="2"/>
  <c r="G53" i="2"/>
  <c r="H53" i="2"/>
  <c r="I53" i="2"/>
  <c r="J53" i="2"/>
  <c r="K53" i="2"/>
  <c r="B54" i="2"/>
  <c r="C54" i="2"/>
  <c r="D54" i="2"/>
  <c r="E54" i="2"/>
  <c r="F54" i="2"/>
  <c r="G54" i="2"/>
  <c r="H54" i="2"/>
  <c r="I54" i="2"/>
  <c r="J54" i="2"/>
  <c r="K54" i="2"/>
  <c r="B55" i="2"/>
  <c r="C55" i="2"/>
  <c r="D55" i="2"/>
  <c r="E55" i="2"/>
  <c r="F55" i="2"/>
  <c r="G55" i="2"/>
  <c r="H55" i="2"/>
  <c r="I55" i="2"/>
  <c r="J55" i="2"/>
  <c r="K55" i="2"/>
  <c r="B56" i="2"/>
  <c r="C56" i="2"/>
  <c r="D56" i="2"/>
  <c r="E56" i="2"/>
  <c r="F56" i="2"/>
  <c r="G56" i="2"/>
  <c r="H56" i="2"/>
  <c r="I56" i="2"/>
  <c r="J56" i="2"/>
  <c r="K56" i="2"/>
  <c r="B57" i="2"/>
  <c r="C57" i="2"/>
  <c r="D57" i="2"/>
  <c r="E57" i="2"/>
  <c r="F57" i="2"/>
  <c r="G57" i="2"/>
  <c r="H57" i="2"/>
  <c r="I57" i="2"/>
  <c r="J57" i="2"/>
  <c r="K57" i="2"/>
  <c r="B58" i="2"/>
  <c r="C58" i="2"/>
  <c r="D58" i="2"/>
  <c r="E58" i="2"/>
  <c r="F58" i="2"/>
  <c r="G58" i="2"/>
  <c r="H58" i="2"/>
  <c r="I58" i="2"/>
  <c r="J58" i="2"/>
  <c r="K58" i="2"/>
  <c r="B59" i="2"/>
  <c r="C59" i="2"/>
  <c r="D59" i="2"/>
  <c r="E59" i="2"/>
  <c r="F59" i="2"/>
  <c r="G59" i="2"/>
  <c r="H59" i="2"/>
  <c r="I59" i="2"/>
  <c r="J59" i="2"/>
  <c r="K59" i="2"/>
  <c r="B60" i="2"/>
  <c r="C60" i="2"/>
  <c r="D60" i="2"/>
  <c r="E60" i="2"/>
  <c r="F60" i="2"/>
  <c r="G60" i="2"/>
  <c r="H60" i="2"/>
  <c r="I60" i="2"/>
  <c r="J60" i="2"/>
  <c r="K60" i="2"/>
  <c r="B61" i="2"/>
  <c r="C61" i="2"/>
  <c r="D61" i="2"/>
  <c r="E61" i="2"/>
  <c r="F61" i="2"/>
  <c r="G61" i="2"/>
  <c r="H61" i="2"/>
  <c r="I61" i="2"/>
  <c r="J61" i="2"/>
  <c r="K61" i="2"/>
  <c r="B62" i="2"/>
  <c r="C62" i="2"/>
  <c r="D62" i="2"/>
  <c r="E62" i="2"/>
  <c r="F62" i="2"/>
  <c r="G62" i="2"/>
  <c r="H62" i="2"/>
  <c r="I62" i="2"/>
  <c r="J62" i="2"/>
  <c r="K62" i="2"/>
  <c r="B63" i="2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F66" i="2"/>
  <c r="G66" i="2"/>
  <c r="H66" i="2"/>
  <c r="I66" i="2"/>
  <c r="J66" i="2"/>
  <c r="K66" i="2"/>
  <c r="B67" i="2"/>
  <c r="C67" i="2"/>
  <c r="D67" i="2"/>
  <c r="E67" i="2"/>
  <c r="F67" i="2"/>
  <c r="G67" i="2"/>
  <c r="H67" i="2"/>
  <c r="I67" i="2"/>
  <c r="J67" i="2"/>
  <c r="K67" i="2"/>
  <c r="B68" i="2"/>
  <c r="C68" i="2"/>
  <c r="D68" i="2"/>
  <c r="E68" i="2"/>
  <c r="F68" i="2"/>
  <c r="G68" i="2"/>
  <c r="H68" i="2"/>
  <c r="I68" i="2"/>
  <c r="J68" i="2"/>
  <c r="K68" i="2"/>
  <c r="B69" i="2"/>
  <c r="C69" i="2"/>
  <c r="D69" i="2"/>
  <c r="E69" i="2"/>
  <c r="F69" i="2"/>
  <c r="G69" i="2"/>
  <c r="H69" i="2"/>
  <c r="I69" i="2"/>
  <c r="J69" i="2"/>
  <c r="K69" i="2"/>
  <c r="B70" i="2"/>
  <c r="C70" i="2"/>
  <c r="D70" i="2"/>
  <c r="E70" i="2"/>
  <c r="F70" i="2"/>
  <c r="G70" i="2"/>
  <c r="H70" i="2"/>
  <c r="I70" i="2"/>
  <c r="J70" i="2"/>
  <c r="K70" i="2"/>
  <c r="B71" i="2"/>
  <c r="C71" i="2"/>
  <c r="D71" i="2"/>
  <c r="E71" i="2"/>
  <c r="F71" i="2"/>
  <c r="G71" i="2"/>
  <c r="H71" i="2"/>
  <c r="I71" i="2"/>
  <c r="J71" i="2"/>
  <c r="K71" i="2"/>
  <c r="B72" i="2"/>
  <c r="C72" i="2"/>
  <c r="D72" i="2"/>
  <c r="E72" i="2"/>
  <c r="F72" i="2"/>
  <c r="G72" i="2"/>
  <c r="H72" i="2"/>
  <c r="I72" i="2"/>
  <c r="J72" i="2"/>
  <c r="K72" i="2"/>
  <c r="B73" i="2"/>
  <c r="C73" i="2"/>
  <c r="D73" i="2"/>
  <c r="E73" i="2"/>
  <c r="F73" i="2"/>
  <c r="G73" i="2"/>
  <c r="H73" i="2"/>
  <c r="I73" i="2"/>
  <c r="J73" i="2"/>
  <c r="K73" i="2"/>
  <c r="B74" i="2"/>
  <c r="C74" i="2"/>
  <c r="D74" i="2"/>
  <c r="E74" i="2"/>
  <c r="F74" i="2"/>
  <c r="G74" i="2"/>
  <c r="H74" i="2"/>
  <c r="I74" i="2"/>
  <c r="J74" i="2"/>
  <c r="K74" i="2"/>
  <c r="B75" i="2"/>
  <c r="C75" i="2"/>
  <c r="D75" i="2"/>
  <c r="E75" i="2"/>
  <c r="F75" i="2"/>
  <c r="G75" i="2"/>
  <c r="H75" i="2"/>
  <c r="I75" i="2"/>
  <c r="J75" i="2"/>
  <c r="K75" i="2"/>
  <c r="B76" i="2"/>
  <c r="C76" i="2"/>
  <c r="D76" i="2"/>
  <c r="E76" i="2"/>
  <c r="F76" i="2"/>
  <c r="G76" i="2"/>
  <c r="H76" i="2"/>
  <c r="I76" i="2"/>
  <c r="J76" i="2"/>
  <c r="K76" i="2"/>
  <c r="B77" i="2"/>
  <c r="C77" i="2"/>
  <c r="D77" i="2"/>
  <c r="E77" i="2"/>
  <c r="F77" i="2"/>
  <c r="G77" i="2"/>
  <c r="H77" i="2"/>
  <c r="I77" i="2"/>
  <c r="J77" i="2"/>
  <c r="K77" i="2"/>
  <c r="B78" i="2"/>
  <c r="C78" i="2"/>
  <c r="D78" i="2"/>
  <c r="E78" i="2"/>
  <c r="F78" i="2"/>
  <c r="G78" i="2"/>
  <c r="H78" i="2"/>
  <c r="I78" i="2"/>
  <c r="J78" i="2"/>
  <c r="K78" i="2"/>
  <c r="B79" i="2"/>
  <c r="C79" i="2"/>
  <c r="D79" i="2"/>
  <c r="E79" i="2"/>
  <c r="F79" i="2"/>
  <c r="G79" i="2"/>
  <c r="H79" i="2"/>
  <c r="I79" i="2"/>
  <c r="J79" i="2"/>
  <c r="K79" i="2"/>
  <c r="B80" i="2"/>
  <c r="C80" i="2"/>
  <c r="D80" i="2"/>
  <c r="E80" i="2"/>
  <c r="F80" i="2"/>
  <c r="G80" i="2"/>
  <c r="H80" i="2"/>
  <c r="I80" i="2"/>
  <c r="J80" i="2"/>
  <c r="K80" i="2"/>
  <c r="B81" i="2"/>
  <c r="C81" i="2"/>
  <c r="D81" i="2"/>
  <c r="E81" i="2"/>
  <c r="F81" i="2"/>
  <c r="G81" i="2"/>
  <c r="H81" i="2"/>
  <c r="I81" i="2"/>
  <c r="J81" i="2"/>
  <c r="K81" i="2"/>
  <c r="B82" i="2"/>
  <c r="C82" i="2"/>
  <c r="D82" i="2"/>
  <c r="E82" i="2"/>
  <c r="F82" i="2"/>
  <c r="G82" i="2"/>
  <c r="H82" i="2"/>
  <c r="I82" i="2"/>
  <c r="J82" i="2"/>
  <c r="K82" i="2"/>
  <c r="B83" i="2"/>
  <c r="C83" i="2"/>
  <c r="D83" i="2"/>
  <c r="E83" i="2"/>
  <c r="F83" i="2"/>
  <c r="G83" i="2"/>
  <c r="H83" i="2"/>
  <c r="I83" i="2"/>
  <c r="J83" i="2"/>
  <c r="K83" i="2"/>
  <c r="B84" i="2"/>
  <c r="C84" i="2"/>
  <c r="D84" i="2"/>
  <c r="E84" i="2"/>
  <c r="F84" i="2"/>
  <c r="G84" i="2"/>
  <c r="H84" i="2"/>
  <c r="I84" i="2"/>
  <c r="J84" i="2"/>
  <c r="K84" i="2"/>
  <c r="B85" i="2"/>
  <c r="C85" i="2"/>
  <c r="D85" i="2"/>
  <c r="E85" i="2"/>
  <c r="F85" i="2"/>
  <c r="G85" i="2"/>
  <c r="H85" i="2"/>
  <c r="I85" i="2"/>
  <c r="J85" i="2"/>
  <c r="K85" i="2"/>
  <c r="B86" i="2"/>
  <c r="C86" i="2"/>
  <c r="D86" i="2"/>
  <c r="E86" i="2"/>
  <c r="F86" i="2"/>
  <c r="G86" i="2"/>
  <c r="H86" i="2"/>
  <c r="I86" i="2"/>
  <c r="J86" i="2"/>
  <c r="K86" i="2"/>
  <c r="B87" i="2"/>
  <c r="C87" i="2"/>
  <c r="D87" i="2"/>
  <c r="E87" i="2"/>
  <c r="F87" i="2"/>
  <c r="G87" i="2"/>
  <c r="H87" i="2"/>
  <c r="I87" i="2"/>
  <c r="J87" i="2"/>
  <c r="K87" i="2"/>
  <c r="B88" i="2"/>
  <c r="C88" i="2"/>
  <c r="D88" i="2"/>
  <c r="E88" i="2"/>
  <c r="F88" i="2"/>
  <c r="G88" i="2"/>
  <c r="H88" i="2"/>
  <c r="I88" i="2"/>
  <c r="J88" i="2"/>
  <c r="K88" i="2"/>
  <c r="B89" i="2"/>
  <c r="C89" i="2"/>
  <c r="D89" i="2"/>
  <c r="E89" i="2"/>
  <c r="F89" i="2"/>
  <c r="G89" i="2"/>
  <c r="H89" i="2"/>
  <c r="I89" i="2"/>
  <c r="J89" i="2"/>
  <c r="K89" i="2"/>
  <c r="B90" i="2"/>
  <c r="C90" i="2"/>
  <c r="D90" i="2"/>
  <c r="E90" i="2"/>
  <c r="F90" i="2"/>
  <c r="G90" i="2"/>
  <c r="H90" i="2"/>
  <c r="I90" i="2"/>
  <c r="J90" i="2"/>
  <c r="K90" i="2"/>
  <c r="B91" i="2"/>
  <c r="C91" i="2"/>
  <c r="D91" i="2"/>
  <c r="E91" i="2"/>
  <c r="F91" i="2"/>
  <c r="G91" i="2"/>
  <c r="H91" i="2"/>
  <c r="I91" i="2"/>
  <c r="J91" i="2"/>
  <c r="K91" i="2"/>
  <c r="B92" i="2"/>
  <c r="C92" i="2"/>
  <c r="D92" i="2"/>
  <c r="E92" i="2"/>
  <c r="F92" i="2"/>
  <c r="G92" i="2"/>
  <c r="H92" i="2"/>
  <c r="I92" i="2"/>
  <c r="J92" i="2"/>
  <c r="K92" i="2"/>
  <c r="B93" i="2"/>
  <c r="C93" i="2"/>
  <c r="D93" i="2"/>
  <c r="E93" i="2"/>
  <c r="F93" i="2"/>
  <c r="G93" i="2"/>
  <c r="H93" i="2"/>
  <c r="I93" i="2"/>
  <c r="J93" i="2"/>
  <c r="K93" i="2"/>
  <c r="B94" i="2"/>
  <c r="C94" i="2"/>
  <c r="D94" i="2"/>
  <c r="E94" i="2"/>
  <c r="F94" i="2"/>
  <c r="G94" i="2"/>
  <c r="H94" i="2"/>
  <c r="I94" i="2"/>
  <c r="J94" i="2"/>
  <c r="K94" i="2"/>
  <c r="B95" i="2"/>
  <c r="C95" i="2"/>
  <c r="D95" i="2"/>
  <c r="E95" i="2"/>
  <c r="F95" i="2"/>
  <c r="G95" i="2"/>
  <c r="H95" i="2"/>
  <c r="I95" i="2"/>
  <c r="J95" i="2"/>
  <c r="K95" i="2"/>
  <c r="B96" i="2"/>
  <c r="C96" i="2"/>
  <c r="D96" i="2"/>
  <c r="E96" i="2"/>
  <c r="F96" i="2"/>
  <c r="G96" i="2"/>
  <c r="H96" i="2"/>
  <c r="I96" i="2"/>
  <c r="J96" i="2"/>
  <c r="K96" i="2"/>
  <c r="B97" i="2"/>
  <c r="C97" i="2"/>
  <c r="D97" i="2"/>
  <c r="E97" i="2"/>
  <c r="F97" i="2"/>
  <c r="G97" i="2"/>
  <c r="H97" i="2"/>
  <c r="I97" i="2"/>
  <c r="J97" i="2"/>
  <c r="K97" i="2"/>
  <c r="B98" i="2"/>
  <c r="C98" i="2"/>
  <c r="D98" i="2"/>
  <c r="E98" i="2"/>
  <c r="F98" i="2"/>
  <c r="G98" i="2"/>
  <c r="H98" i="2"/>
  <c r="I98" i="2"/>
  <c r="J98" i="2"/>
  <c r="K98" i="2"/>
  <c r="B99" i="2"/>
  <c r="C99" i="2"/>
  <c r="D99" i="2"/>
  <c r="E99" i="2"/>
  <c r="F99" i="2"/>
  <c r="G99" i="2"/>
  <c r="H99" i="2"/>
  <c r="I99" i="2"/>
  <c r="J99" i="2"/>
  <c r="K99" i="2"/>
  <c r="B100" i="2"/>
  <c r="C100" i="2"/>
  <c r="D100" i="2"/>
  <c r="E100" i="2"/>
  <c r="F100" i="2"/>
  <c r="G100" i="2"/>
  <c r="H100" i="2"/>
  <c r="I100" i="2"/>
  <c r="J100" i="2"/>
  <c r="K100" i="2"/>
  <c r="B101" i="2"/>
  <c r="C101" i="2"/>
  <c r="D101" i="2"/>
  <c r="E101" i="2"/>
  <c r="F101" i="2"/>
  <c r="G101" i="2"/>
  <c r="H101" i="2"/>
  <c r="I101" i="2"/>
  <c r="J101" i="2"/>
  <c r="K101" i="2"/>
  <c r="B102" i="2"/>
  <c r="C102" i="2"/>
  <c r="D102" i="2"/>
  <c r="E102" i="2"/>
  <c r="F102" i="2"/>
  <c r="G102" i="2"/>
  <c r="H102" i="2"/>
  <c r="I102" i="2"/>
  <c r="J102" i="2"/>
  <c r="K102" i="2"/>
  <c r="B103" i="2"/>
  <c r="C103" i="2"/>
  <c r="D103" i="2"/>
  <c r="E103" i="2"/>
  <c r="F103" i="2"/>
  <c r="G103" i="2"/>
  <c r="H103" i="2"/>
  <c r="I103" i="2"/>
  <c r="J103" i="2"/>
  <c r="K103" i="2"/>
  <c r="B104" i="2"/>
  <c r="C104" i="2"/>
  <c r="D104" i="2"/>
  <c r="E104" i="2"/>
  <c r="F104" i="2"/>
  <c r="G104" i="2"/>
  <c r="H104" i="2"/>
  <c r="I104" i="2"/>
  <c r="J104" i="2"/>
  <c r="K104" i="2"/>
  <c r="B105" i="2"/>
  <c r="C105" i="2"/>
  <c r="D105" i="2"/>
  <c r="E105" i="2"/>
  <c r="F105" i="2"/>
  <c r="G105" i="2"/>
  <c r="H105" i="2"/>
  <c r="I105" i="2"/>
  <c r="J105" i="2"/>
  <c r="K105" i="2"/>
  <c r="B106" i="2"/>
  <c r="C106" i="2"/>
  <c r="D106" i="2"/>
  <c r="E106" i="2"/>
  <c r="F106" i="2"/>
  <c r="G106" i="2"/>
  <c r="H106" i="2"/>
  <c r="I106" i="2"/>
  <c r="J106" i="2"/>
  <c r="K106" i="2"/>
  <c r="B107" i="2"/>
  <c r="C107" i="2"/>
  <c r="D107" i="2"/>
  <c r="E107" i="2"/>
  <c r="F107" i="2"/>
  <c r="G107" i="2"/>
  <c r="H107" i="2"/>
  <c r="I107" i="2"/>
  <c r="J107" i="2"/>
  <c r="K107" i="2"/>
  <c r="B108" i="2"/>
  <c r="C108" i="2"/>
  <c r="D108" i="2"/>
  <c r="E108" i="2"/>
  <c r="F108" i="2"/>
  <c r="G108" i="2"/>
  <c r="H108" i="2"/>
  <c r="I108" i="2"/>
  <c r="J108" i="2"/>
  <c r="K108" i="2"/>
  <c r="B109" i="2"/>
  <c r="C109" i="2"/>
  <c r="D109" i="2"/>
  <c r="E109" i="2"/>
  <c r="F109" i="2"/>
  <c r="G109" i="2"/>
  <c r="H109" i="2"/>
  <c r="I109" i="2"/>
  <c r="J109" i="2"/>
  <c r="K109" i="2"/>
  <c r="B110" i="2"/>
  <c r="C110" i="2"/>
  <c r="D110" i="2"/>
  <c r="E110" i="2"/>
  <c r="F110" i="2"/>
  <c r="G110" i="2"/>
  <c r="H110" i="2"/>
  <c r="I110" i="2"/>
  <c r="J110" i="2"/>
  <c r="K110" i="2"/>
  <c r="B111" i="2"/>
  <c r="C111" i="2"/>
  <c r="D111" i="2"/>
  <c r="E111" i="2"/>
  <c r="F111" i="2"/>
  <c r="G111" i="2"/>
  <c r="H111" i="2"/>
  <c r="I111" i="2"/>
  <c r="J111" i="2"/>
  <c r="K111" i="2"/>
  <c r="B112" i="2"/>
  <c r="C112" i="2"/>
  <c r="D112" i="2"/>
  <c r="E112" i="2"/>
  <c r="F112" i="2"/>
  <c r="G112" i="2"/>
  <c r="H112" i="2"/>
  <c r="I112" i="2"/>
  <c r="J112" i="2"/>
  <c r="K112" i="2"/>
  <c r="B113" i="2"/>
  <c r="C113" i="2"/>
  <c r="D113" i="2"/>
  <c r="E113" i="2"/>
  <c r="F113" i="2"/>
  <c r="G113" i="2"/>
  <c r="H113" i="2"/>
  <c r="I113" i="2"/>
  <c r="J113" i="2"/>
  <c r="K113" i="2"/>
  <c r="B114" i="2"/>
  <c r="C114" i="2"/>
  <c r="D114" i="2"/>
  <c r="E114" i="2"/>
  <c r="F114" i="2"/>
  <c r="G114" i="2"/>
  <c r="H114" i="2"/>
  <c r="I114" i="2"/>
  <c r="J114" i="2"/>
  <c r="K114" i="2"/>
  <c r="B115" i="2"/>
  <c r="C115" i="2"/>
  <c r="D115" i="2"/>
  <c r="E115" i="2"/>
  <c r="F115" i="2"/>
  <c r="G115" i="2"/>
  <c r="H115" i="2"/>
  <c r="I115" i="2"/>
  <c r="J115" i="2"/>
  <c r="K115" i="2"/>
  <c r="B116" i="2"/>
  <c r="C116" i="2"/>
  <c r="D116" i="2"/>
  <c r="E116" i="2"/>
  <c r="F116" i="2"/>
  <c r="G116" i="2"/>
  <c r="H116" i="2"/>
  <c r="I116" i="2"/>
  <c r="J116" i="2"/>
  <c r="K116" i="2"/>
  <c r="B117" i="2"/>
  <c r="C117" i="2"/>
  <c r="D117" i="2"/>
  <c r="E117" i="2"/>
  <c r="F117" i="2"/>
  <c r="G117" i="2"/>
  <c r="H117" i="2"/>
  <c r="I117" i="2"/>
  <c r="J117" i="2"/>
  <c r="K117" i="2"/>
  <c r="B118" i="2"/>
  <c r="C118" i="2"/>
  <c r="D118" i="2"/>
  <c r="E118" i="2"/>
  <c r="F118" i="2"/>
  <c r="G118" i="2"/>
  <c r="H118" i="2"/>
  <c r="I118" i="2"/>
  <c r="J118" i="2"/>
  <c r="K118" i="2"/>
  <c r="B119" i="2"/>
  <c r="C119" i="2"/>
  <c r="D119" i="2"/>
  <c r="E119" i="2"/>
  <c r="F119" i="2"/>
  <c r="G119" i="2"/>
  <c r="H119" i="2"/>
  <c r="I119" i="2"/>
  <c r="J119" i="2"/>
  <c r="K119" i="2"/>
  <c r="B120" i="2"/>
  <c r="C120" i="2"/>
  <c r="D120" i="2"/>
  <c r="E120" i="2"/>
  <c r="F120" i="2"/>
  <c r="G120" i="2"/>
  <c r="H120" i="2"/>
  <c r="I120" i="2"/>
  <c r="J120" i="2"/>
  <c r="K120" i="2"/>
  <c r="B121" i="2"/>
  <c r="C121" i="2"/>
  <c r="D121" i="2"/>
  <c r="E121" i="2"/>
  <c r="F121" i="2"/>
  <c r="G121" i="2"/>
  <c r="H121" i="2"/>
  <c r="I121" i="2"/>
  <c r="J121" i="2"/>
  <c r="K121" i="2"/>
  <c r="B122" i="2"/>
  <c r="C122" i="2"/>
  <c r="D122" i="2"/>
  <c r="E122" i="2"/>
  <c r="F122" i="2"/>
  <c r="G122" i="2"/>
  <c r="H122" i="2"/>
  <c r="I122" i="2"/>
  <c r="J122" i="2"/>
  <c r="K122" i="2"/>
  <c r="B123" i="2"/>
  <c r="C123" i="2"/>
  <c r="D123" i="2"/>
  <c r="E123" i="2"/>
  <c r="F123" i="2"/>
  <c r="G123" i="2"/>
  <c r="H123" i="2"/>
  <c r="I123" i="2"/>
  <c r="J123" i="2"/>
  <c r="K123" i="2"/>
  <c r="B124" i="2"/>
  <c r="C124" i="2"/>
  <c r="D124" i="2"/>
  <c r="E124" i="2"/>
  <c r="F124" i="2"/>
  <c r="G124" i="2"/>
  <c r="H124" i="2"/>
  <c r="I124" i="2"/>
  <c r="J124" i="2"/>
  <c r="K124" i="2"/>
  <c r="B125" i="2"/>
  <c r="C125" i="2"/>
  <c r="D125" i="2"/>
  <c r="E125" i="2"/>
  <c r="F125" i="2"/>
  <c r="G125" i="2"/>
  <c r="H125" i="2"/>
  <c r="I125" i="2"/>
  <c r="J125" i="2"/>
  <c r="K125" i="2"/>
  <c r="B126" i="2"/>
  <c r="C126" i="2"/>
  <c r="D126" i="2"/>
  <c r="E126" i="2"/>
  <c r="F126" i="2"/>
  <c r="G126" i="2"/>
  <c r="H126" i="2"/>
  <c r="I126" i="2"/>
  <c r="J126" i="2"/>
  <c r="K126" i="2"/>
  <c r="B127" i="2"/>
  <c r="C127" i="2"/>
  <c r="D127" i="2"/>
  <c r="E127" i="2"/>
  <c r="F127" i="2"/>
  <c r="G127" i="2"/>
  <c r="H127" i="2"/>
  <c r="I127" i="2"/>
  <c r="J127" i="2"/>
  <c r="K127" i="2"/>
  <c r="B128" i="2"/>
  <c r="C128" i="2"/>
  <c r="D128" i="2"/>
  <c r="E128" i="2"/>
  <c r="F128" i="2"/>
  <c r="G128" i="2"/>
  <c r="H128" i="2"/>
  <c r="I128" i="2"/>
  <c r="J128" i="2"/>
  <c r="K128" i="2"/>
  <c r="B129" i="2"/>
  <c r="C129" i="2"/>
  <c r="D129" i="2"/>
  <c r="E129" i="2"/>
  <c r="F129" i="2"/>
  <c r="G129" i="2"/>
  <c r="H129" i="2"/>
  <c r="I129" i="2"/>
  <c r="J129" i="2"/>
  <c r="K129" i="2"/>
  <c r="B130" i="2"/>
  <c r="C130" i="2"/>
  <c r="D130" i="2"/>
  <c r="E130" i="2"/>
  <c r="F130" i="2"/>
  <c r="G130" i="2"/>
  <c r="H130" i="2"/>
  <c r="I130" i="2"/>
  <c r="J130" i="2"/>
  <c r="K130" i="2"/>
  <c r="B131" i="2"/>
  <c r="C131" i="2"/>
  <c r="D131" i="2"/>
  <c r="E131" i="2"/>
  <c r="F131" i="2"/>
  <c r="G131" i="2"/>
  <c r="H131" i="2"/>
  <c r="I131" i="2"/>
  <c r="J131" i="2"/>
  <c r="K131" i="2"/>
  <c r="B132" i="2"/>
  <c r="C132" i="2"/>
  <c r="D132" i="2"/>
  <c r="E132" i="2"/>
  <c r="F132" i="2"/>
  <c r="G132" i="2"/>
  <c r="H132" i="2"/>
  <c r="I132" i="2"/>
  <c r="J132" i="2"/>
  <c r="K132" i="2"/>
  <c r="B133" i="2"/>
  <c r="C133" i="2"/>
  <c r="D133" i="2"/>
  <c r="E133" i="2"/>
  <c r="F133" i="2"/>
  <c r="G133" i="2"/>
  <c r="H133" i="2"/>
  <c r="I133" i="2"/>
  <c r="J133" i="2"/>
  <c r="K133" i="2"/>
  <c r="B134" i="2"/>
  <c r="C134" i="2"/>
  <c r="D134" i="2"/>
  <c r="E134" i="2"/>
  <c r="F134" i="2"/>
  <c r="G134" i="2"/>
  <c r="H134" i="2"/>
  <c r="I134" i="2"/>
  <c r="J134" i="2"/>
  <c r="K134" i="2"/>
  <c r="B135" i="2"/>
  <c r="C135" i="2"/>
  <c r="D135" i="2"/>
  <c r="E135" i="2"/>
  <c r="F135" i="2"/>
  <c r="G135" i="2"/>
  <c r="H135" i="2"/>
  <c r="I135" i="2"/>
  <c r="J135" i="2"/>
  <c r="K135" i="2"/>
  <c r="B136" i="2"/>
  <c r="C136" i="2"/>
  <c r="D136" i="2"/>
  <c r="E136" i="2"/>
  <c r="F136" i="2"/>
  <c r="G136" i="2"/>
  <c r="H136" i="2"/>
  <c r="I136" i="2"/>
  <c r="J136" i="2"/>
  <c r="K136" i="2"/>
  <c r="B137" i="2"/>
  <c r="C137" i="2"/>
  <c r="D137" i="2"/>
  <c r="E137" i="2"/>
  <c r="F137" i="2"/>
  <c r="G137" i="2"/>
  <c r="H137" i="2"/>
  <c r="I137" i="2"/>
  <c r="J137" i="2"/>
  <c r="K137" i="2"/>
  <c r="B138" i="2"/>
  <c r="C138" i="2"/>
  <c r="D138" i="2"/>
  <c r="E138" i="2"/>
  <c r="F138" i="2"/>
  <c r="G138" i="2"/>
  <c r="H138" i="2"/>
  <c r="I138" i="2"/>
  <c r="J138" i="2"/>
  <c r="K138" i="2"/>
  <c r="B139" i="2"/>
  <c r="C139" i="2"/>
  <c r="D139" i="2"/>
  <c r="E139" i="2"/>
  <c r="F139" i="2"/>
  <c r="G139" i="2"/>
  <c r="H139" i="2"/>
  <c r="I139" i="2"/>
  <c r="J139" i="2"/>
  <c r="K139" i="2"/>
  <c r="B140" i="2"/>
  <c r="C140" i="2"/>
  <c r="D140" i="2"/>
  <c r="E140" i="2"/>
  <c r="F140" i="2"/>
  <c r="G140" i="2"/>
  <c r="H140" i="2"/>
  <c r="I140" i="2"/>
  <c r="J140" i="2"/>
  <c r="K140" i="2"/>
  <c r="B141" i="2"/>
  <c r="C141" i="2"/>
  <c r="D141" i="2"/>
  <c r="E141" i="2"/>
  <c r="F141" i="2"/>
  <c r="G141" i="2"/>
  <c r="H141" i="2"/>
  <c r="I141" i="2"/>
  <c r="J141" i="2"/>
  <c r="K141" i="2"/>
  <c r="B142" i="2"/>
  <c r="C142" i="2"/>
  <c r="D142" i="2"/>
  <c r="E142" i="2"/>
  <c r="F142" i="2"/>
  <c r="G142" i="2"/>
  <c r="H142" i="2"/>
  <c r="I142" i="2"/>
  <c r="J142" i="2"/>
  <c r="K142" i="2"/>
  <c r="B143" i="2"/>
  <c r="C143" i="2"/>
  <c r="D143" i="2"/>
  <c r="E143" i="2"/>
  <c r="F143" i="2"/>
  <c r="G143" i="2"/>
  <c r="H143" i="2"/>
  <c r="I143" i="2"/>
  <c r="J143" i="2"/>
  <c r="K143" i="2"/>
  <c r="B144" i="2"/>
  <c r="C144" i="2"/>
  <c r="D144" i="2"/>
  <c r="E144" i="2"/>
  <c r="F144" i="2"/>
  <c r="G144" i="2"/>
  <c r="H144" i="2"/>
  <c r="I144" i="2"/>
  <c r="J144" i="2"/>
  <c r="K144" i="2"/>
  <c r="B145" i="2"/>
  <c r="C145" i="2"/>
  <c r="D145" i="2"/>
  <c r="E145" i="2"/>
  <c r="F145" i="2"/>
  <c r="G145" i="2"/>
  <c r="H145" i="2"/>
  <c r="I145" i="2"/>
  <c r="J145" i="2"/>
  <c r="K145" i="2"/>
  <c r="B146" i="2"/>
  <c r="C146" i="2"/>
  <c r="D146" i="2"/>
  <c r="E146" i="2"/>
  <c r="F146" i="2"/>
  <c r="G146" i="2"/>
  <c r="H146" i="2"/>
  <c r="I146" i="2"/>
  <c r="J146" i="2"/>
  <c r="K146" i="2"/>
  <c r="B147" i="2"/>
  <c r="C147" i="2"/>
  <c r="D147" i="2"/>
  <c r="E147" i="2"/>
  <c r="F147" i="2"/>
  <c r="G147" i="2"/>
  <c r="H147" i="2"/>
  <c r="I147" i="2"/>
  <c r="J147" i="2"/>
  <c r="K147" i="2"/>
  <c r="B148" i="2"/>
  <c r="C148" i="2"/>
  <c r="D148" i="2"/>
  <c r="E148" i="2"/>
  <c r="F148" i="2"/>
  <c r="G148" i="2"/>
  <c r="H148" i="2"/>
  <c r="I148" i="2"/>
  <c r="J148" i="2"/>
  <c r="K148" i="2"/>
  <c r="B149" i="2"/>
  <c r="C149" i="2"/>
  <c r="D149" i="2"/>
  <c r="E149" i="2"/>
  <c r="F149" i="2"/>
  <c r="G149" i="2"/>
  <c r="H149" i="2"/>
  <c r="I149" i="2"/>
  <c r="J149" i="2"/>
  <c r="K149" i="2"/>
  <c r="B150" i="2"/>
  <c r="C150" i="2"/>
  <c r="D150" i="2"/>
  <c r="E150" i="2"/>
  <c r="F150" i="2"/>
  <c r="G150" i="2"/>
  <c r="H150" i="2"/>
  <c r="I150" i="2"/>
  <c r="J150" i="2"/>
  <c r="K150" i="2"/>
  <c r="B151" i="2"/>
  <c r="C151" i="2"/>
  <c r="D151" i="2"/>
  <c r="E151" i="2"/>
  <c r="F151" i="2"/>
  <c r="G151" i="2"/>
  <c r="H151" i="2"/>
  <c r="I151" i="2"/>
  <c r="J151" i="2"/>
  <c r="K151" i="2"/>
  <c r="B152" i="2"/>
  <c r="C152" i="2"/>
  <c r="D152" i="2"/>
  <c r="E152" i="2"/>
  <c r="F152" i="2"/>
  <c r="G152" i="2"/>
  <c r="H152" i="2"/>
  <c r="I152" i="2"/>
  <c r="J152" i="2"/>
  <c r="K152" i="2"/>
  <c r="B153" i="2"/>
  <c r="C153" i="2"/>
  <c r="D153" i="2"/>
  <c r="E153" i="2"/>
  <c r="F153" i="2"/>
  <c r="G153" i="2"/>
  <c r="H153" i="2"/>
  <c r="I153" i="2"/>
  <c r="J153" i="2"/>
  <c r="K153" i="2"/>
  <c r="B154" i="2"/>
  <c r="C154" i="2"/>
  <c r="D154" i="2"/>
  <c r="E154" i="2"/>
  <c r="F154" i="2"/>
  <c r="G154" i="2"/>
  <c r="H154" i="2"/>
  <c r="I154" i="2"/>
  <c r="J154" i="2"/>
  <c r="K154" i="2"/>
  <c r="B155" i="2"/>
  <c r="C155" i="2"/>
  <c r="D155" i="2"/>
  <c r="E155" i="2"/>
  <c r="F155" i="2"/>
  <c r="G155" i="2"/>
  <c r="H155" i="2"/>
  <c r="I155" i="2"/>
  <c r="J155" i="2"/>
  <c r="K155" i="2"/>
  <c r="B156" i="2"/>
  <c r="C156" i="2"/>
  <c r="D156" i="2"/>
  <c r="E156" i="2"/>
  <c r="F156" i="2"/>
  <c r="G156" i="2"/>
  <c r="H156" i="2"/>
  <c r="I156" i="2"/>
  <c r="J156" i="2"/>
  <c r="K156" i="2"/>
  <c r="B157" i="2"/>
  <c r="C157" i="2"/>
  <c r="D157" i="2"/>
  <c r="E157" i="2"/>
  <c r="F157" i="2"/>
  <c r="G157" i="2"/>
  <c r="H157" i="2"/>
  <c r="I157" i="2"/>
  <c r="J157" i="2"/>
  <c r="K157" i="2"/>
  <c r="B158" i="2"/>
  <c r="C158" i="2"/>
  <c r="D158" i="2"/>
  <c r="E158" i="2"/>
  <c r="F158" i="2"/>
  <c r="G158" i="2"/>
  <c r="H158" i="2"/>
  <c r="I158" i="2"/>
  <c r="J158" i="2"/>
  <c r="K158" i="2"/>
  <c r="B159" i="2"/>
  <c r="C159" i="2"/>
  <c r="D159" i="2"/>
  <c r="E159" i="2"/>
  <c r="F159" i="2"/>
  <c r="G159" i="2"/>
  <c r="H159" i="2"/>
  <c r="I159" i="2"/>
  <c r="J159" i="2"/>
  <c r="K159" i="2"/>
  <c r="B160" i="2"/>
  <c r="C160" i="2"/>
  <c r="D160" i="2"/>
  <c r="E160" i="2"/>
  <c r="F160" i="2"/>
  <c r="G160" i="2"/>
  <c r="H160" i="2"/>
  <c r="I160" i="2"/>
  <c r="J160" i="2"/>
  <c r="K160" i="2"/>
  <c r="B161" i="2"/>
  <c r="C161" i="2"/>
  <c r="D161" i="2"/>
  <c r="E161" i="2"/>
  <c r="F161" i="2"/>
  <c r="G161" i="2"/>
  <c r="H161" i="2"/>
  <c r="I161" i="2"/>
  <c r="J161" i="2"/>
  <c r="K161" i="2"/>
  <c r="B162" i="2"/>
  <c r="C162" i="2"/>
  <c r="D162" i="2"/>
  <c r="E162" i="2"/>
  <c r="F162" i="2"/>
  <c r="G162" i="2"/>
  <c r="H162" i="2"/>
  <c r="I162" i="2"/>
  <c r="J162" i="2"/>
  <c r="K162" i="2"/>
  <c r="B163" i="2"/>
  <c r="C163" i="2"/>
  <c r="D163" i="2"/>
  <c r="E163" i="2"/>
  <c r="F163" i="2"/>
  <c r="G163" i="2"/>
  <c r="H163" i="2"/>
  <c r="I163" i="2"/>
  <c r="J163" i="2"/>
  <c r="K163" i="2"/>
  <c r="B164" i="2"/>
  <c r="C164" i="2"/>
  <c r="D164" i="2"/>
  <c r="E164" i="2"/>
  <c r="F164" i="2"/>
  <c r="G164" i="2"/>
  <c r="H164" i="2"/>
  <c r="I164" i="2"/>
  <c r="J164" i="2"/>
  <c r="K164" i="2"/>
  <c r="B165" i="2"/>
  <c r="C165" i="2"/>
  <c r="D165" i="2"/>
  <c r="E165" i="2"/>
  <c r="F165" i="2"/>
  <c r="G165" i="2"/>
  <c r="H165" i="2"/>
  <c r="I165" i="2"/>
  <c r="J165" i="2"/>
  <c r="K165" i="2"/>
  <c r="B166" i="2"/>
  <c r="C166" i="2"/>
  <c r="D166" i="2"/>
  <c r="E166" i="2"/>
  <c r="F166" i="2"/>
  <c r="G166" i="2"/>
  <c r="H166" i="2"/>
  <c r="I166" i="2"/>
  <c r="J166" i="2"/>
  <c r="K166" i="2"/>
  <c r="B167" i="2"/>
  <c r="C167" i="2"/>
  <c r="D167" i="2"/>
  <c r="E167" i="2"/>
  <c r="F167" i="2"/>
  <c r="G167" i="2"/>
  <c r="H167" i="2"/>
  <c r="I167" i="2"/>
  <c r="J167" i="2"/>
  <c r="K167" i="2"/>
  <c r="B168" i="2"/>
  <c r="C168" i="2"/>
  <c r="D168" i="2"/>
  <c r="E168" i="2"/>
  <c r="F168" i="2"/>
  <c r="G168" i="2"/>
  <c r="H168" i="2"/>
  <c r="I168" i="2"/>
  <c r="J168" i="2"/>
  <c r="K168" i="2"/>
  <c r="B169" i="2"/>
  <c r="C169" i="2"/>
  <c r="D169" i="2"/>
  <c r="E169" i="2"/>
  <c r="F169" i="2"/>
  <c r="G169" i="2"/>
  <c r="H169" i="2"/>
  <c r="I169" i="2"/>
  <c r="J169" i="2"/>
  <c r="K169" i="2"/>
  <c r="B170" i="2"/>
  <c r="C170" i="2"/>
  <c r="D170" i="2"/>
  <c r="E170" i="2"/>
  <c r="F170" i="2"/>
  <c r="G170" i="2"/>
  <c r="H170" i="2"/>
  <c r="I170" i="2"/>
  <c r="J170" i="2"/>
  <c r="K170" i="2"/>
  <c r="B171" i="2"/>
  <c r="C171" i="2"/>
  <c r="D171" i="2"/>
  <c r="E171" i="2"/>
  <c r="F171" i="2"/>
  <c r="G171" i="2"/>
  <c r="H171" i="2"/>
  <c r="I171" i="2"/>
  <c r="J171" i="2"/>
  <c r="K171" i="2"/>
  <c r="B172" i="2"/>
  <c r="C172" i="2"/>
  <c r="D172" i="2"/>
  <c r="E172" i="2"/>
  <c r="F172" i="2"/>
  <c r="G172" i="2"/>
  <c r="H172" i="2"/>
  <c r="I172" i="2"/>
  <c r="J172" i="2"/>
  <c r="K172" i="2"/>
  <c r="B173" i="2"/>
  <c r="C173" i="2"/>
  <c r="D173" i="2"/>
  <c r="E173" i="2"/>
  <c r="F173" i="2"/>
  <c r="G173" i="2"/>
  <c r="H173" i="2"/>
  <c r="I173" i="2"/>
  <c r="J173" i="2"/>
  <c r="K173" i="2"/>
  <c r="B174" i="2"/>
  <c r="C174" i="2"/>
  <c r="D174" i="2"/>
  <c r="E174" i="2"/>
  <c r="F174" i="2"/>
  <c r="G174" i="2"/>
  <c r="H174" i="2"/>
  <c r="I174" i="2"/>
  <c r="J174" i="2"/>
  <c r="K174" i="2"/>
  <c r="B175" i="2"/>
  <c r="C175" i="2"/>
  <c r="D175" i="2"/>
  <c r="E175" i="2"/>
  <c r="F175" i="2"/>
  <c r="G175" i="2"/>
  <c r="H175" i="2"/>
  <c r="I175" i="2"/>
  <c r="J175" i="2"/>
  <c r="K175" i="2"/>
  <c r="B176" i="2"/>
  <c r="C176" i="2"/>
  <c r="D176" i="2"/>
  <c r="E176" i="2"/>
  <c r="F176" i="2"/>
  <c r="G176" i="2"/>
  <c r="H176" i="2"/>
  <c r="I176" i="2"/>
  <c r="J176" i="2"/>
  <c r="K176" i="2"/>
  <c r="B177" i="2"/>
  <c r="C177" i="2"/>
  <c r="D177" i="2"/>
  <c r="E177" i="2"/>
  <c r="F177" i="2"/>
  <c r="G177" i="2"/>
  <c r="H177" i="2"/>
  <c r="I177" i="2"/>
  <c r="J177" i="2"/>
  <c r="K177" i="2"/>
  <c r="B178" i="2"/>
  <c r="C178" i="2"/>
  <c r="D178" i="2"/>
  <c r="E178" i="2"/>
  <c r="F178" i="2"/>
  <c r="G178" i="2"/>
  <c r="H178" i="2"/>
  <c r="I178" i="2"/>
  <c r="J178" i="2"/>
  <c r="K178" i="2"/>
  <c r="B179" i="2"/>
  <c r="C179" i="2"/>
  <c r="D179" i="2"/>
  <c r="E179" i="2"/>
  <c r="F179" i="2"/>
  <c r="G179" i="2"/>
  <c r="H179" i="2"/>
  <c r="I179" i="2"/>
  <c r="J179" i="2"/>
  <c r="K179" i="2"/>
  <c r="B180" i="2"/>
  <c r="C180" i="2"/>
  <c r="D180" i="2"/>
  <c r="E180" i="2"/>
  <c r="F180" i="2"/>
  <c r="G180" i="2"/>
  <c r="H180" i="2"/>
  <c r="I180" i="2"/>
  <c r="J180" i="2"/>
  <c r="K180" i="2"/>
  <c r="B181" i="2"/>
  <c r="C181" i="2"/>
  <c r="D181" i="2"/>
  <c r="E181" i="2"/>
  <c r="F181" i="2"/>
  <c r="G181" i="2"/>
  <c r="H181" i="2"/>
  <c r="I181" i="2"/>
  <c r="J181" i="2"/>
  <c r="K181" i="2"/>
  <c r="B182" i="2"/>
  <c r="C182" i="2"/>
  <c r="D182" i="2"/>
  <c r="E182" i="2"/>
  <c r="F182" i="2"/>
  <c r="G182" i="2"/>
  <c r="H182" i="2"/>
  <c r="I182" i="2"/>
  <c r="J182" i="2"/>
  <c r="K182" i="2"/>
  <c r="B183" i="2"/>
  <c r="C183" i="2"/>
  <c r="D183" i="2"/>
  <c r="E183" i="2"/>
  <c r="F183" i="2"/>
  <c r="G183" i="2"/>
  <c r="H183" i="2"/>
  <c r="I183" i="2"/>
  <c r="J183" i="2"/>
  <c r="K183" i="2"/>
  <c r="B184" i="2"/>
  <c r="C184" i="2"/>
  <c r="D184" i="2"/>
  <c r="E184" i="2"/>
  <c r="F184" i="2"/>
  <c r="G184" i="2"/>
  <c r="H184" i="2"/>
  <c r="I184" i="2"/>
  <c r="J184" i="2"/>
  <c r="K184" i="2"/>
  <c r="B185" i="2"/>
  <c r="C185" i="2"/>
  <c r="D185" i="2"/>
  <c r="E185" i="2"/>
  <c r="F185" i="2"/>
  <c r="G185" i="2"/>
  <c r="H185" i="2"/>
  <c r="I185" i="2"/>
  <c r="J185" i="2"/>
  <c r="K185" i="2"/>
  <c r="B186" i="2"/>
  <c r="C186" i="2"/>
  <c r="D186" i="2"/>
  <c r="E186" i="2"/>
  <c r="F186" i="2"/>
  <c r="G186" i="2"/>
  <c r="H186" i="2"/>
  <c r="I186" i="2"/>
  <c r="J186" i="2"/>
  <c r="K186" i="2"/>
  <c r="B187" i="2"/>
  <c r="C187" i="2"/>
  <c r="D187" i="2"/>
  <c r="E187" i="2"/>
  <c r="F187" i="2"/>
  <c r="G187" i="2"/>
  <c r="H187" i="2"/>
  <c r="I187" i="2"/>
  <c r="J187" i="2"/>
  <c r="K187" i="2"/>
  <c r="B188" i="2"/>
  <c r="C188" i="2"/>
  <c r="D188" i="2"/>
  <c r="E188" i="2"/>
  <c r="F188" i="2"/>
  <c r="G188" i="2"/>
  <c r="H188" i="2"/>
  <c r="I188" i="2"/>
  <c r="J188" i="2"/>
  <c r="K188" i="2"/>
  <c r="B189" i="2"/>
  <c r="C189" i="2"/>
  <c r="D189" i="2"/>
  <c r="E189" i="2"/>
  <c r="F189" i="2"/>
  <c r="G189" i="2"/>
  <c r="H189" i="2"/>
  <c r="I189" i="2"/>
  <c r="J189" i="2"/>
  <c r="K189" i="2"/>
  <c r="B190" i="2"/>
  <c r="C190" i="2"/>
  <c r="D190" i="2"/>
  <c r="E190" i="2"/>
  <c r="F190" i="2"/>
  <c r="G190" i="2"/>
  <c r="H190" i="2"/>
  <c r="I190" i="2"/>
  <c r="J190" i="2"/>
  <c r="K190" i="2"/>
  <c r="B191" i="2"/>
  <c r="C191" i="2"/>
  <c r="D191" i="2"/>
  <c r="E191" i="2"/>
  <c r="F191" i="2"/>
  <c r="G191" i="2"/>
  <c r="H191" i="2"/>
  <c r="I191" i="2"/>
  <c r="J191" i="2"/>
  <c r="K191" i="2"/>
  <c r="B192" i="2"/>
  <c r="C192" i="2"/>
  <c r="D192" i="2"/>
  <c r="E192" i="2"/>
  <c r="F192" i="2"/>
  <c r="G192" i="2"/>
  <c r="H192" i="2"/>
  <c r="I192" i="2"/>
  <c r="J192" i="2"/>
  <c r="K192" i="2"/>
  <c r="B193" i="2"/>
  <c r="C193" i="2"/>
  <c r="D193" i="2"/>
  <c r="E193" i="2"/>
  <c r="F193" i="2"/>
  <c r="G193" i="2"/>
  <c r="H193" i="2"/>
  <c r="I193" i="2"/>
  <c r="J193" i="2"/>
  <c r="K193" i="2"/>
  <c r="B194" i="2"/>
  <c r="C194" i="2"/>
  <c r="D194" i="2"/>
  <c r="E194" i="2"/>
  <c r="F194" i="2"/>
  <c r="G194" i="2"/>
  <c r="H194" i="2"/>
  <c r="I194" i="2"/>
  <c r="J194" i="2"/>
  <c r="K194" i="2"/>
  <c r="B195" i="2"/>
  <c r="C195" i="2"/>
  <c r="D195" i="2"/>
  <c r="E195" i="2"/>
  <c r="F195" i="2"/>
  <c r="G195" i="2"/>
  <c r="H195" i="2"/>
  <c r="I195" i="2"/>
  <c r="J195" i="2"/>
  <c r="K195" i="2"/>
  <c r="B196" i="2"/>
  <c r="C196" i="2"/>
  <c r="D196" i="2"/>
  <c r="E196" i="2"/>
  <c r="F196" i="2"/>
  <c r="G196" i="2"/>
  <c r="H196" i="2"/>
  <c r="I196" i="2"/>
  <c r="J196" i="2"/>
  <c r="K196" i="2"/>
  <c r="B197" i="2"/>
  <c r="C197" i="2"/>
  <c r="D197" i="2"/>
  <c r="E197" i="2"/>
  <c r="F197" i="2"/>
  <c r="G197" i="2"/>
  <c r="H197" i="2"/>
  <c r="I197" i="2"/>
  <c r="J197" i="2"/>
  <c r="K197" i="2"/>
  <c r="B198" i="2"/>
  <c r="C198" i="2"/>
  <c r="D198" i="2"/>
  <c r="E198" i="2"/>
  <c r="F198" i="2"/>
  <c r="G198" i="2"/>
  <c r="H198" i="2"/>
  <c r="I198" i="2"/>
  <c r="J198" i="2"/>
  <c r="K198" i="2"/>
  <c r="B199" i="2"/>
  <c r="C199" i="2"/>
  <c r="D199" i="2"/>
  <c r="E199" i="2"/>
  <c r="F199" i="2"/>
  <c r="G199" i="2"/>
  <c r="H199" i="2"/>
  <c r="I199" i="2"/>
  <c r="J199" i="2"/>
  <c r="K199" i="2"/>
  <c r="B200" i="2"/>
  <c r="C200" i="2"/>
  <c r="D200" i="2"/>
  <c r="E200" i="2"/>
  <c r="F200" i="2"/>
  <c r="G200" i="2"/>
  <c r="H200" i="2"/>
  <c r="I200" i="2"/>
  <c r="J200" i="2"/>
  <c r="K200" i="2"/>
  <c r="B201" i="2"/>
  <c r="C201" i="2"/>
  <c r="D201" i="2"/>
  <c r="E201" i="2"/>
  <c r="F201" i="2"/>
  <c r="G201" i="2"/>
  <c r="H201" i="2"/>
  <c r="I201" i="2"/>
  <c r="J201" i="2"/>
  <c r="K201" i="2"/>
  <c r="B202" i="2"/>
  <c r="C202" i="2"/>
  <c r="D202" i="2"/>
  <c r="E202" i="2"/>
  <c r="F202" i="2"/>
  <c r="G202" i="2"/>
  <c r="H202" i="2"/>
  <c r="I202" i="2"/>
  <c r="J202" i="2"/>
  <c r="K202" i="2"/>
  <c r="B203" i="2"/>
  <c r="C203" i="2"/>
  <c r="D203" i="2"/>
  <c r="E203" i="2"/>
  <c r="F203" i="2"/>
  <c r="G203" i="2"/>
  <c r="H203" i="2"/>
  <c r="I203" i="2"/>
  <c r="J203" i="2"/>
  <c r="K203" i="2"/>
  <c r="B204" i="2"/>
  <c r="C204" i="2"/>
  <c r="D204" i="2"/>
  <c r="E204" i="2"/>
  <c r="F204" i="2"/>
  <c r="G204" i="2"/>
  <c r="H204" i="2"/>
  <c r="I204" i="2"/>
  <c r="J204" i="2"/>
  <c r="K204" i="2"/>
  <c r="B205" i="2"/>
  <c r="C205" i="2"/>
  <c r="D205" i="2"/>
  <c r="E205" i="2"/>
  <c r="F205" i="2"/>
  <c r="G205" i="2"/>
  <c r="H205" i="2"/>
  <c r="I205" i="2"/>
  <c r="J205" i="2"/>
  <c r="K205" i="2"/>
  <c r="B206" i="2"/>
  <c r="C206" i="2"/>
  <c r="D206" i="2"/>
  <c r="E206" i="2"/>
  <c r="F206" i="2"/>
  <c r="G206" i="2"/>
  <c r="H206" i="2"/>
  <c r="I206" i="2"/>
  <c r="J206" i="2"/>
  <c r="K206" i="2"/>
  <c r="B207" i="2"/>
  <c r="C207" i="2"/>
  <c r="D207" i="2"/>
  <c r="E207" i="2"/>
  <c r="F207" i="2"/>
  <c r="G207" i="2"/>
  <c r="H207" i="2"/>
  <c r="I207" i="2"/>
  <c r="J207" i="2"/>
  <c r="K207" i="2"/>
  <c r="B208" i="2"/>
  <c r="C208" i="2"/>
  <c r="D208" i="2"/>
  <c r="E208" i="2"/>
  <c r="F208" i="2"/>
  <c r="G208" i="2"/>
  <c r="H208" i="2"/>
  <c r="I208" i="2"/>
  <c r="J208" i="2"/>
  <c r="K208" i="2"/>
  <c r="B209" i="2"/>
  <c r="C209" i="2"/>
  <c r="D209" i="2"/>
  <c r="E209" i="2"/>
  <c r="F209" i="2"/>
  <c r="G209" i="2"/>
  <c r="H209" i="2"/>
  <c r="I209" i="2"/>
  <c r="J209" i="2"/>
  <c r="K209" i="2"/>
  <c r="B210" i="2"/>
  <c r="C210" i="2"/>
  <c r="D210" i="2"/>
  <c r="E210" i="2"/>
  <c r="F210" i="2"/>
  <c r="G210" i="2"/>
  <c r="H210" i="2"/>
  <c r="I210" i="2"/>
  <c r="J210" i="2"/>
  <c r="K210" i="2"/>
  <c r="B211" i="2"/>
  <c r="C211" i="2"/>
  <c r="D211" i="2"/>
  <c r="E211" i="2"/>
  <c r="F211" i="2"/>
  <c r="G211" i="2"/>
  <c r="H211" i="2"/>
  <c r="I211" i="2"/>
  <c r="J211" i="2"/>
  <c r="K211" i="2"/>
  <c r="B212" i="2"/>
  <c r="C212" i="2"/>
  <c r="D212" i="2"/>
  <c r="E212" i="2"/>
  <c r="F212" i="2"/>
  <c r="G212" i="2"/>
  <c r="H212" i="2"/>
  <c r="I212" i="2"/>
  <c r="J212" i="2"/>
  <c r="K212" i="2"/>
  <c r="B213" i="2"/>
  <c r="C213" i="2"/>
  <c r="D213" i="2"/>
  <c r="E213" i="2"/>
  <c r="F213" i="2"/>
  <c r="G213" i="2"/>
  <c r="H213" i="2"/>
  <c r="I213" i="2"/>
  <c r="J213" i="2"/>
  <c r="K213" i="2"/>
  <c r="B214" i="2"/>
  <c r="C214" i="2"/>
  <c r="D214" i="2"/>
  <c r="E214" i="2"/>
  <c r="F214" i="2"/>
  <c r="G214" i="2"/>
  <c r="H214" i="2"/>
  <c r="I214" i="2"/>
  <c r="J214" i="2"/>
  <c r="K214" i="2"/>
  <c r="B215" i="2"/>
  <c r="C215" i="2"/>
  <c r="D215" i="2"/>
  <c r="E215" i="2"/>
  <c r="F215" i="2"/>
  <c r="G215" i="2"/>
  <c r="H215" i="2"/>
  <c r="I215" i="2"/>
  <c r="J215" i="2"/>
  <c r="K215" i="2"/>
  <c r="B216" i="2"/>
  <c r="C216" i="2"/>
  <c r="D216" i="2"/>
  <c r="E216" i="2"/>
  <c r="F216" i="2"/>
  <c r="G216" i="2"/>
  <c r="H216" i="2"/>
  <c r="I216" i="2"/>
  <c r="J216" i="2"/>
  <c r="K216" i="2"/>
  <c r="B217" i="2"/>
  <c r="C217" i="2"/>
  <c r="D217" i="2"/>
  <c r="E217" i="2"/>
  <c r="F217" i="2"/>
  <c r="G217" i="2"/>
  <c r="H217" i="2"/>
  <c r="I217" i="2"/>
  <c r="J217" i="2"/>
  <c r="K217" i="2"/>
  <c r="B218" i="2"/>
  <c r="C218" i="2"/>
  <c r="D218" i="2"/>
  <c r="E218" i="2"/>
  <c r="F218" i="2"/>
  <c r="G218" i="2"/>
  <c r="H218" i="2"/>
  <c r="I218" i="2"/>
  <c r="J218" i="2"/>
  <c r="K218" i="2"/>
  <c r="B219" i="2"/>
  <c r="C219" i="2"/>
  <c r="D219" i="2"/>
  <c r="E219" i="2"/>
  <c r="F219" i="2"/>
  <c r="G219" i="2"/>
  <c r="H219" i="2"/>
  <c r="I219" i="2"/>
  <c r="J219" i="2"/>
  <c r="K219" i="2"/>
  <c r="B220" i="2"/>
  <c r="C220" i="2"/>
  <c r="D220" i="2"/>
  <c r="E220" i="2"/>
  <c r="F220" i="2"/>
  <c r="G220" i="2"/>
  <c r="H220" i="2"/>
  <c r="I220" i="2"/>
  <c r="J220" i="2"/>
  <c r="K220" i="2"/>
  <c r="B221" i="2"/>
  <c r="C221" i="2"/>
  <c r="D221" i="2"/>
  <c r="E221" i="2"/>
  <c r="F221" i="2"/>
  <c r="G221" i="2"/>
  <c r="H221" i="2"/>
  <c r="I221" i="2"/>
  <c r="J221" i="2"/>
  <c r="K221" i="2"/>
  <c r="B222" i="2"/>
  <c r="C222" i="2"/>
  <c r="D222" i="2"/>
  <c r="E222" i="2"/>
  <c r="F222" i="2"/>
  <c r="G222" i="2"/>
  <c r="H222" i="2"/>
  <c r="I222" i="2"/>
  <c r="J222" i="2"/>
  <c r="K222" i="2"/>
  <c r="B223" i="2"/>
  <c r="C223" i="2"/>
  <c r="D223" i="2"/>
  <c r="E223" i="2"/>
  <c r="F223" i="2"/>
  <c r="G223" i="2"/>
  <c r="H223" i="2"/>
  <c r="I223" i="2"/>
  <c r="J223" i="2"/>
  <c r="K223" i="2"/>
  <c r="B224" i="2"/>
  <c r="C224" i="2"/>
  <c r="D224" i="2"/>
  <c r="E224" i="2"/>
  <c r="F224" i="2"/>
  <c r="G224" i="2"/>
  <c r="H224" i="2"/>
  <c r="I224" i="2"/>
  <c r="J224" i="2"/>
  <c r="K224" i="2"/>
  <c r="B225" i="2"/>
  <c r="C225" i="2"/>
  <c r="D225" i="2"/>
  <c r="E225" i="2"/>
  <c r="F225" i="2"/>
  <c r="G225" i="2"/>
  <c r="H225" i="2"/>
  <c r="I225" i="2"/>
  <c r="J225" i="2"/>
  <c r="K225" i="2"/>
  <c r="B226" i="2"/>
  <c r="C226" i="2"/>
  <c r="D226" i="2"/>
  <c r="E226" i="2"/>
  <c r="F226" i="2"/>
  <c r="G226" i="2"/>
  <c r="H226" i="2"/>
  <c r="I226" i="2"/>
  <c r="J226" i="2"/>
  <c r="K226" i="2"/>
  <c r="B227" i="2"/>
  <c r="C227" i="2"/>
  <c r="D227" i="2"/>
  <c r="E227" i="2"/>
  <c r="F227" i="2"/>
  <c r="G227" i="2"/>
  <c r="H227" i="2"/>
  <c r="I227" i="2"/>
  <c r="J227" i="2"/>
  <c r="K227" i="2"/>
  <c r="B228" i="2"/>
  <c r="C228" i="2"/>
  <c r="D228" i="2"/>
  <c r="E228" i="2"/>
  <c r="F228" i="2"/>
  <c r="G228" i="2"/>
  <c r="H228" i="2"/>
  <c r="I228" i="2"/>
  <c r="J228" i="2"/>
  <c r="K228" i="2"/>
  <c r="B229" i="2"/>
  <c r="C229" i="2"/>
  <c r="D229" i="2"/>
  <c r="E229" i="2"/>
  <c r="F229" i="2"/>
  <c r="G229" i="2"/>
  <c r="H229" i="2"/>
  <c r="I229" i="2"/>
  <c r="J229" i="2"/>
  <c r="K229" i="2"/>
  <c r="B230" i="2"/>
  <c r="C230" i="2"/>
  <c r="D230" i="2"/>
  <c r="E230" i="2"/>
  <c r="F230" i="2"/>
  <c r="G230" i="2"/>
  <c r="H230" i="2"/>
  <c r="I230" i="2"/>
  <c r="J230" i="2"/>
  <c r="K230" i="2"/>
  <c r="B231" i="2"/>
  <c r="C231" i="2"/>
  <c r="D231" i="2"/>
  <c r="E231" i="2"/>
  <c r="F231" i="2"/>
  <c r="G231" i="2"/>
  <c r="H231" i="2"/>
  <c r="I231" i="2"/>
  <c r="J231" i="2"/>
  <c r="K231" i="2"/>
  <c r="B232" i="2"/>
  <c r="C232" i="2"/>
  <c r="D232" i="2"/>
  <c r="E232" i="2"/>
  <c r="F232" i="2"/>
  <c r="G232" i="2"/>
  <c r="H232" i="2"/>
  <c r="I232" i="2"/>
  <c r="J232" i="2"/>
  <c r="K232" i="2"/>
  <c r="B233" i="2"/>
  <c r="C233" i="2"/>
  <c r="D233" i="2"/>
  <c r="E233" i="2"/>
  <c r="F233" i="2"/>
  <c r="G233" i="2"/>
  <c r="H233" i="2"/>
  <c r="I233" i="2"/>
  <c r="J233" i="2"/>
  <c r="K233" i="2"/>
  <c r="B234" i="2"/>
  <c r="C234" i="2"/>
  <c r="D234" i="2"/>
  <c r="E234" i="2"/>
  <c r="F234" i="2"/>
  <c r="G234" i="2"/>
  <c r="H234" i="2"/>
  <c r="I234" i="2"/>
  <c r="J234" i="2"/>
  <c r="K234" i="2"/>
  <c r="B235" i="2"/>
  <c r="C235" i="2"/>
  <c r="D235" i="2"/>
  <c r="E235" i="2"/>
  <c r="F235" i="2"/>
  <c r="G235" i="2"/>
  <c r="H235" i="2"/>
  <c r="I235" i="2"/>
  <c r="J235" i="2"/>
  <c r="K235" i="2"/>
  <c r="B236" i="2"/>
  <c r="C236" i="2"/>
  <c r="D236" i="2"/>
  <c r="E236" i="2"/>
  <c r="F236" i="2"/>
  <c r="G236" i="2"/>
  <c r="H236" i="2"/>
  <c r="I236" i="2"/>
  <c r="J236" i="2"/>
  <c r="K236" i="2"/>
  <c r="B237" i="2"/>
  <c r="C237" i="2"/>
  <c r="D237" i="2"/>
  <c r="E237" i="2"/>
  <c r="F237" i="2"/>
  <c r="G237" i="2"/>
  <c r="H237" i="2"/>
  <c r="I237" i="2"/>
  <c r="J237" i="2"/>
  <c r="K237" i="2"/>
  <c r="B238" i="2"/>
  <c r="C238" i="2"/>
  <c r="D238" i="2"/>
  <c r="E238" i="2"/>
  <c r="F238" i="2"/>
  <c r="G238" i="2"/>
  <c r="H238" i="2"/>
  <c r="I238" i="2"/>
  <c r="J238" i="2"/>
  <c r="K238" i="2"/>
  <c r="B239" i="2"/>
  <c r="C239" i="2"/>
  <c r="D239" i="2"/>
  <c r="E239" i="2"/>
  <c r="F239" i="2"/>
  <c r="G239" i="2"/>
  <c r="H239" i="2"/>
  <c r="I239" i="2"/>
  <c r="J239" i="2"/>
  <c r="K239" i="2"/>
  <c r="B240" i="2"/>
  <c r="C240" i="2"/>
  <c r="D240" i="2"/>
  <c r="E240" i="2"/>
  <c r="F240" i="2"/>
  <c r="G240" i="2"/>
  <c r="H240" i="2"/>
  <c r="I240" i="2"/>
  <c r="J240" i="2"/>
  <c r="K240" i="2"/>
  <c r="B241" i="2"/>
  <c r="C241" i="2"/>
  <c r="D241" i="2"/>
  <c r="E241" i="2"/>
  <c r="F241" i="2"/>
  <c r="G241" i="2"/>
  <c r="H241" i="2"/>
  <c r="I241" i="2"/>
  <c r="J241" i="2"/>
  <c r="K241" i="2"/>
  <c r="B242" i="2"/>
  <c r="C242" i="2"/>
  <c r="D242" i="2"/>
  <c r="E242" i="2"/>
  <c r="F242" i="2"/>
  <c r="G242" i="2"/>
  <c r="H242" i="2"/>
  <c r="I242" i="2"/>
  <c r="J242" i="2"/>
  <c r="K242" i="2"/>
  <c r="B243" i="2"/>
  <c r="C243" i="2"/>
  <c r="D243" i="2"/>
  <c r="E243" i="2"/>
  <c r="F243" i="2"/>
  <c r="G243" i="2"/>
  <c r="H243" i="2"/>
  <c r="I243" i="2"/>
  <c r="J243" i="2"/>
  <c r="K243" i="2"/>
  <c r="B244" i="2"/>
  <c r="C244" i="2"/>
  <c r="D244" i="2"/>
  <c r="E244" i="2"/>
  <c r="F244" i="2"/>
  <c r="G244" i="2"/>
  <c r="H244" i="2"/>
  <c r="I244" i="2"/>
  <c r="J244" i="2"/>
  <c r="K244" i="2"/>
  <c r="B245" i="2"/>
  <c r="C245" i="2"/>
  <c r="D245" i="2"/>
  <c r="E245" i="2"/>
  <c r="F245" i="2"/>
  <c r="G245" i="2"/>
  <c r="H245" i="2"/>
  <c r="I245" i="2"/>
  <c r="J245" i="2"/>
  <c r="K245" i="2"/>
  <c r="B246" i="2"/>
  <c r="C246" i="2"/>
  <c r="D246" i="2"/>
  <c r="E246" i="2"/>
  <c r="F246" i="2"/>
  <c r="G246" i="2"/>
  <c r="H246" i="2"/>
  <c r="I246" i="2"/>
  <c r="J246" i="2"/>
  <c r="K246" i="2"/>
  <c r="B247" i="2"/>
  <c r="C247" i="2"/>
  <c r="D247" i="2"/>
  <c r="E247" i="2"/>
  <c r="F247" i="2"/>
  <c r="G247" i="2"/>
  <c r="H247" i="2"/>
  <c r="I247" i="2"/>
  <c r="J247" i="2"/>
  <c r="K247" i="2"/>
  <c r="B248" i="2"/>
  <c r="C248" i="2"/>
  <c r="D248" i="2"/>
  <c r="E248" i="2"/>
  <c r="F248" i="2"/>
  <c r="G248" i="2"/>
  <c r="H248" i="2"/>
  <c r="I248" i="2"/>
  <c r="J248" i="2"/>
  <c r="K248" i="2"/>
  <c r="B249" i="2"/>
  <c r="C249" i="2"/>
  <c r="D249" i="2"/>
  <c r="E249" i="2"/>
  <c r="F249" i="2"/>
  <c r="G249" i="2"/>
  <c r="H249" i="2"/>
  <c r="I249" i="2"/>
  <c r="J249" i="2"/>
  <c r="K249" i="2"/>
  <c r="B250" i="2"/>
  <c r="C250" i="2"/>
  <c r="D250" i="2"/>
  <c r="E250" i="2"/>
  <c r="F250" i="2"/>
  <c r="G250" i="2"/>
  <c r="H250" i="2"/>
  <c r="I250" i="2"/>
  <c r="J250" i="2"/>
  <c r="K250" i="2"/>
  <c r="B251" i="2"/>
  <c r="C251" i="2"/>
  <c r="D251" i="2"/>
  <c r="E251" i="2"/>
  <c r="F251" i="2"/>
  <c r="G251" i="2"/>
  <c r="H251" i="2"/>
  <c r="I251" i="2"/>
  <c r="J251" i="2"/>
  <c r="K251" i="2"/>
  <c r="B252" i="2"/>
  <c r="C252" i="2"/>
  <c r="D252" i="2"/>
  <c r="E252" i="2"/>
  <c r="F252" i="2"/>
  <c r="G252" i="2"/>
  <c r="H252" i="2"/>
  <c r="I252" i="2"/>
  <c r="J252" i="2"/>
  <c r="K252" i="2"/>
  <c r="B253" i="2"/>
  <c r="C253" i="2"/>
  <c r="D253" i="2"/>
  <c r="E253" i="2"/>
  <c r="F253" i="2"/>
  <c r="G253" i="2"/>
  <c r="H253" i="2"/>
  <c r="I253" i="2"/>
  <c r="J253" i="2"/>
  <c r="K253" i="2"/>
  <c r="B254" i="2"/>
  <c r="C254" i="2"/>
  <c r="D254" i="2"/>
  <c r="E254" i="2"/>
  <c r="F254" i="2"/>
  <c r="G254" i="2"/>
  <c r="H254" i="2"/>
  <c r="I254" i="2"/>
  <c r="J254" i="2"/>
  <c r="K254" i="2"/>
  <c r="B255" i="2"/>
  <c r="C255" i="2"/>
  <c r="D255" i="2"/>
  <c r="E255" i="2"/>
  <c r="F255" i="2"/>
  <c r="G255" i="2"/>
  <c r="H255" i="2"/>
  <c r="I255" i="2"/>
  <c r="J255" i="2"/>
  <c r="K255" i="2"/>
  <c r="B256" i="2"/>
  <c r="C256" i="2"/>
  <c r="D256" i="2"/>
  <c r="E256" i="2"/>
  <c r="F256" i="2"/>
  <c r="G256" i="2"/>
  <c r="H256" i="2"/>
  <c r="I256" i="2"/>
  <c r="J256" i="2"/>
  <c r="K256" i="2"/>
  <c r="B257" i="2"/>
  <c r="C257" i="2"/>
  <c r="D257" i="2"/>
  <c r="E257" i="2"/>
  <c r="F257" i="2"/>
  <c r="G257" i="2"/>
  <c r="H257" i="2"/>
  <c r="I257" i="2"/>
  <c r="J257" i="2"/>
  <c r="K257" i="2"/>
  <c r="B258" i="2"/>
  <c r="C258" i="2"/>
  <c r="D258" i="2"/>
  <c r="E258" i="2"/>
  <c r="F258" i="2"/>
  <c r="G258" i="2"/>
  <c r="H258" i="2"/>
  <c r="I258" i="2"/>
  <c r="J258" i="2"/>
  <c r="K258" i="2"/>
  <c r="B259" i="2"/>
  <c r="C259" i="2"/>
  <c r="D259" i="2"/>
  <c r="E259" i="2"/>
  <c r="F259" i="2"/>
  <c r="G259" i="2"/>
  <c r="H259" i="2"/>
  <c r="I259" i="2"/>
  <c r="J259" i="2"/>
  <c r="K259" i="2"/>
  <c r="B260" i="2"/>
  <c r="C260" i="2"/>
  <c r="D260" i="2"/>
  <c r="E260" i="2"/>
  <c r="F260" i="2"/>
  <c r="G260" i="2"/>
  <c r="H260" i="2"/>
  <c r="I260" i="2"/>
  <c r="J260" i="2"/>
  <c r="K260" i="2"/>
  <c r="B261" i="2"/>
  <c r="C261" i="2"/>
  <c r="D261" i="2"/>
  <c r="E261" i="2"/>
  <c r="F261" i="2"/>
  <c r="G261" i="2"/>
  <c r="H261" i="2"/>
  <c r="I261" i="2"/>
  <c r="J261" i="2"/>
  <c r="K261" i="2"/>
  <c r="B262" i="2"/>
  <c r="C262" i="2"/>
  <c r="D262" i="2"/>
  <c r="E262" i="2"/>
  <c r="F262" i="2"/>
  <c r="G262" i="2"/>
  <c r="H262" i="2"/>
  <c r="I262" i="2"/>
  <c r="J262" i="2"/>
  <c r="K262" i="2"/>
  <c r="B263" i="2"/>
  <c r="C263" i="2"/>
  <c r="D263" i="2"/>
  <c r="E263" i="2"/>
  <c r="F263" i="2"/>
  <c r="G263" i="2"/>
  <c r="H263" i="2"/>
  <c r="I263" i="2"/>
  <c r="J263" i="2"/>
  <c r="K263" i="2"/>
  <c r="B264" i="2"/>
  <c r="C264" i="2"/>
  <c r="D264" i="2"/>
  <c r="E264" i="2"/>
  <c r="F264" i="2"/>
  <c r="G264" i="2"/>
  <c r="H264" i="2"/>
  <c r="I264" i="2"/>
  <c r="J264" i="2"/>
  <c r="K264" i="2"/>
  <c r="B265" i="2"/>
  <c r="C265" i="2"/>
  <c r="D265" i="2"/>
  <c r="E265" i="2"/>
  <c r="F265" i="2"/>
  <c r="G265" i="2"/>
  <c r="H265" i="2"/>
  <c r="I265" i="2"/>
  <c r="J265" i="2"/>
  <c r="K265" i="2"/>
  <c r="B266" i="2"/>
  <c r="C266" i="2"/>
  <c r="D266" i="2"/>
  <c r="E266" i="2"/>
  <c r="F266" i="2"/>
  <c r="G266" i="2"/>
  <c r="H266" i="2"/>
  <c r="I266" i="2"/>
  <c r="J266" i="2"/>
  <c r="K266" i="2"/>
  <c r="B267" i="2"/>
  <c r="C267" i="2"/>
  <c r="D267" i="2"/>
  <c r="E267" i="2"/>
  <c r="F267" i="2"/>
  <c r="G267" i="2"/>
  <c r="H267" i="2"/>
  <c r="I267" i="2"/>
  <c r="J267" i="2"/>
  <c r="K267" i="2"/>
  <c r="B268" i="2"/>
  <c r="C268" i="2"/>
  <c r="D268" i="2"/>
  <c r="E268" i="2"/>
  <c r="F268" i="2"/>
  <c r="G268" i="2"/>
  <c r="H268" i="2"/>
  <c r="I268" i="2"/>
  <c r="J268" i="2"/>
  <c r="K268" i="2"/>
  <c r="B269" i="2"/>
  <c r="C269" i="2"/>
  <c r="D269" i="2"/>
  <c r="E269" i="2"/>
  <c r="F269" i="2"/>
  <c r="G269" i="2"/>
  <c r="H269" i="2"/>
  <c r="I269" i="2"/>
  <c r="J269" i="2"/>
  <c r="K269" i="2"/>
  <c r="B270" i="2"/>
  <c r="C270" i="2"/>
  <c r="D270" i="2"/>
  <c r="E270" i="2"/>
  <c r="F270" i="2"/>
  <c r="G270" i="2"/>
  <c r="H270" i="2"/>
  <c r="I270" i="2"/>
  <c r="J270" i="2"/>
  <c r="K270" i="2"/>
  <c r="B271" i="2"/>
  <c r="C271" i="2"/>
  <c r="D271" i="2"/>
  <c r="E271" i="2"/>
  <c r="F271" i="2"/>
  <c r="G271" i="2"/>
  <c r="H271" i="2"/>
  <c r="I271" i="2"/>
  <c r="J271" i="2"/>
  <c r="K271" i="2"/>
  <c r="B272" i="2"/>
  <c r="C272" i="2"/>
  <c r="D272" i="2"/>
  <c r="E272" i="2"/>
  <c r="F272" i="2"/>
  <c r="G272" i="2"/>
  <c r="H272" i="2"/>
  <c r="I272" i="2"/>
  <c r="J272" i="2"/>
  <c r="K272" i="2"/>
  <c r="B273" i="2"/>
  <c r="C273" i="2"/>
  <c r="D273" i="2"/>
  <c r="E273" i="2"/>
  <c r="F273" i="2"/>
  <c r="G273" i="2"/>
  <c r="H273" i="2"/>
  <c r="I273" i="2"/>
  <c r="J273" i="2"/>
  <c r="K273" i="2"/>
  <c r="B274" i="2"/>
  <c r="C274" i="2"/>
  <c r="D274" i="2"/>
  <c r="E274" i="2"/>
  <c r="F274" i="2"/>
  <c r="G274" i="2"/>
  <c r="H274" i="2"/>
  <c r="I274" i="2"/>
  <c r="J274" i="2"/>
  <c r="K274" i="2"/>
  <c r="B275" i="2"/>
  <c r="C275" i="2"/>
  <c r="D275" i="2"/>
  <c r="E275" i="2"/>
  <c r="F275" i="2"/>
  <c r="G275" i="2"/>
  <c r="H275" i="2"/>
  <c r="I275" i="2"/>
  <c r="J275" i="2"/>
  <c r="K275" i="2"/>
  <c r="B276" i="2"/>
  <c r="C276" i="2"/>
  <c r="D276" i="2"/>
  <c r="E276" i="2"/>
  <c r="F276" i="2"/>
  <c r="G276" i="2"/>
  <c r="H276" i="2"/>
  <c r="I276" i="2"/>
  <c r="J276" i="2"/>
  <c r="K276" i="2"/>
  <c r="B277" i="2"/>
  <c r="C277" i="2"/>
  <c r="D277" i="2"/>
  <c r="E277" i="2"/>
  <c r="F277" i="2"/>
  <c r="G277" i="2"/>
  <c r="H277" i="2"/>
  <c r="I277" i="2"/>
  <c r="J277" i="2"/>
  <c r="K277" i="2"/>
  <c r="B278" i="2"/>
  <c r="C278" i="2"/>
  <c r="D278" i="2"/>
  <c r="E278" i="2"/>
  <c r="F278" i="2"/>
  <c r="G278" i="2"/>
  <c r="H278" i="2"/>
  <c r="I278" i="2"/>
  <c r="J278" i="2"/>
  <c r="K278" i="2"/>
  <c r="B279" i="2"/>
  <c r="C279" i="2"/>
  <c r="D279" i="2"/>
  <c r="E279" i="2"/>
  <c r="F279" i="2"/>
  <c r="G279" i="2"/>
  <c r="H279" i="2"/>
  <c r="I279" i="2"/>
  <c r="J279" i="2"/>
  <c r="K279" i="2"/>
  <c r="B280" i="2"/>
  <c r="C280" i="2"/>
  <c r="D280" i="2"/>
  <c r="E280" i="2"/>
  <c r="F280" i="2"/>
  <c r="G280" i="2"/>
  <c r="H280" i="2"/>
  <c r="I280" i="2"/>
  <c r="J280" i="2"/>
  <c r="K280" i="2"/>
  <c r="B281" i="2"/>
  <c r="C281" i="2"/>
  <c r="D281" i="2"/>
  <c r="E281" i="2"/>
  <c r="F281" i="2"/>
  <c r="G281" i="2"/>
  <c r="H281" i="2"/>
  <c r="I281" i="2"/>
  <c r="J281" i="2"/>
  <c r="K281" i="2"/>
  <c r="B282" i="2"/>
  <c r="C282" i="2"/>
  <c r="D282" i="2"/>
  <c r="E282" i="2"/>
  <c r="F282" i="2"/>
  <c r="G282" i="2"/>
  <c r="H282" i="2"/>
  <c r="I282" i="2"/>
  <c r="J282" i="2"/>
  <c r="K282" i="2"/>
  <c r="B283" i="2"/>
  <c r="C283" i="2"/>
  <c r="D283" i="2"/>
  <c r="E283" i="2"/>
  <c r="F283" i="2"/>
  <c r="G283" i="2"/>
  <c r="H283" i="2"/>
  <c r="I283" i="2"/>
  <c r="J283" i="2"/>
  <c r="K283" i="2"/>
  <c r="B284" i="2"/>
  <c r="C284" i="2"/>
  <c r="D284" i="2"/>
  <c r="E284" i="2"/>
  <c r="F284" i="2"/>
  <c r="G284" i="2"/>
  <c r="H284" i="2"/>
  <c r="I284" i="2"/>
  <c r="J284" i="2"/>
  <c r="K284" i="2"/>
  <c r="B285" i="2"/>
  <c r="C285" i="2"/>
  <c r="D285" i="2"/>
  <c r="E285" i="2"/>
  <c r="F285" i="2"/>
  <c r="G285" i="2"/>
  <c r="H285" i="2"/>
  <c r="I285" i="2"/>
  <c r="J285" i="2"/>
  <c r="K285" i="2"/>
  <c r="B286" i="2"/>
  <c r="C286" i="2"/>
  <c r="D286" i="2"/>
  <c r="E286" i="2"/>
  <c r="F286" i="2"/>
  <c r="G286" i="2"/>
  <c r="H286" i="2"/>
  <c r="I286" i="2"/>
  <c r="J286" i="2"/>
  <c r="K286" i="2"/>
  <c r="B287" i="2"/>
  <c r="C287" i="2"/>
  <c r="D287" i="2"/>
  <c r="E287" i="2"/>
  <c r="F287" i="2"/>
  <c r="G287" i="2"/>
  <c r="H287" i="2"/>
  <c r="I287" i="2"/>
  <c r="J287" i="2"/>
  <c r="K287" i="2"/>
  <c r="B288" i="2"/>
  <c r="C288" i="2"/>
  <c r="D288" i="2"/>
  <c r="E288" i="2"/>
  <c r="F288" i="2"/>
  <c r="G288" i="2"/>
  <c r="H288" i="2"/>
  <c r="I288" i="2"/>
  <c r="J288" i="2"/>
  <c r="K288" i="2"/>
  <c r="B289" i="2"/>
  <c r="C289" i="2"/>
  <c r="D289" i="2"/>
  <c r="E289" i="2"/>
  <c r="F289" i="2"/>
  <c r="G289" i="2"/>
  <c r="H289" i="2"/>
  <c r="I289" i="2"/>
  <c r="J289" i="2"/>
  <c r="K289" i="2"/>
  <c r="B290" i="2"/>
  <c r="C290" i="2"/>
  <c r="D290" i="2"/>
  <c r="E290" i="2"/>
  <c r="F290" i="2"/>
  <c r="G290" i="2"/>
  <c r="H290" i="2"/>
  <c r="I290" i="2"/>
  <c r="J290" i="2"/>
  <c r="K290" i="2"/>
  <c r="B291" i="2"/>
  <c r="C291" i="2"/>
  <c r="D291" i="2"/>
  <c r="E291" i="2"/>
  <c r="F291" i="2"/>
  <c r="G291" i="2"/>
  <c r="H291" i="2"/>
  <c r="I291" i="2"/>
  <c r="J291" i="2"/>
  <c r="K291" i="2"/>
  <c r="B292" i="2"/>
  <c r="C292" i="2"/>
  <c r="D292" i="2"/>
  <c r="E292" i="2"/>
  <c r="F292" i="2"/>
  <c r="G292" i="2"/>
  <c r="H292" i="2"/>
  <c r="I292" i="2"/>
  <c r="J292" i="2"/>
  <c r="K292" i="2"/>
  <c r="B293" i="2"/>
  <c r="C293" i="2"/>
  <c r="D293" i="2"/>
  <c r="E293" i="2"/>
  <c r="F293" i="2"/>
  <c r="G293" i="2"/>
  <c r="H293" i="2"/>
  <c r="I293" i="2"/>
  <c r="J293" i="2"/>
  <c r="K293" i="2"/>
  <c r="B294" i="2"/>
  <c r="C294" i="2"/>
  <c r="D294" i="2"/>
  <c r="E294" i="2"/>
  <c r="F294" i="2"/>
  <c r="G294" i="2"/>
  <c r="H294" i="2"/>
  <c r="I294" i="2"/>
  <c r="J294" i="2"/>
  <c r="K294" i="2"/>
  <c r="B295" i="2"/>
  <c r="C295" i="2"/>
  <c r="D295" i="2"/>
  <c r="E295" i="2"/>
  <c r="F295" i="2"/>
  <c r="G295" i="2"/>
  <c r="H295" i="2"/>
  <c r="I295" i="2"/>
  <c r="J295" i="2"/>
  <c r="K295" i="2"/>
  <c r="B296" i="2"/>
  <c r="C296" i="2"/>
  <c r="D296" i="2"/>
  <c r="E296" i="2"/>
  <c r="F296" i="2"/>
  <c r="G296" i="2"/>
  <c r="H296" i="2"/>
  <c r="I296" i="2"/>
  <c r="J296" i="2"/>
  <c r="K296" i="2"/>
  <c r="B297" i="2"/>
  <c r="C297" i="2"/>
  <c r="D297" i="2"/>
  <c r="E297" i="2"/>
  <c r="F297" i="2"/>
  <c r="G297" i="2"/>
  <c r="H297" i="2"/>
  <c r="I297" i="2"/>
  <c r="J297" i="2"/>
  <c r="K297" i="2"/>
  <c r="B298" i="2"/>
  <c r="C298" i="2"/>
  <c r="D298" i="2"/>
  <c r="E298" i="2"/>
  <c r="F298" i="2"/>
  <c r="G298" i="2"/>
  <c r="H298" i="2"/>
  <c r="I298" i="2"/>
  <c r="J298" i="2"/>
  <c r="K298" i="2"/>
  <c r="B299" i="2"/>
  <c r="C299" i="2"/>
  <c r="D299" i="2"/>
  <c r="E299" i="2"/>
  <c r="F299" i="2"/>
  <c r="G299" i="2"/>
  <c r="H299" i="2"/>
  <c r="I299" i="2"/>
  <c r="J299" i="2"/>
  <c r="K299" i="2"/>
  <c r="B300" i="2"/>
  <c r="C300" i="2"/>
  <c r="D300" i="2"/>
  <c r="E300" i="2"/>
  <c r="F300" i="2"/>
  <c r="G300" i="2"/>
  <c r="H300" i="2"/>
  <c r="I300" i="2"/>
  <c r="J300" i="2"/>
  <c r="K300" i="2"/>
  <c r="B301" i="2"/>
  <c r="C301" i="2"/>
  <c r="D301" i="2"/>
  <c r="E301" i="2"/>
  <c r="F301" i="2"/>
  <c r="G301" i="2"/>
  <c r="H301" i="2"/>
  <c r="I301" i="2"/>
  <c r="J301" i="2"/>
  <c r="K301" i="2"/>
  <c r="B302" i="2"/>
  <c r="C302" i="2"/>
  <c r="D302" i="2"/>
  <c r="E302" i="2"/>
  <c r="F302" i="2"/>
  <c r="G302" i="2"/>
  <c r="H302" i="2"/>
  <c r="I302" i="2"/>
  <c r="J302" i="2"/>
  <c r="K302" i="2"/>
  <c r="B303" i="2"/>
  <c r="C303" i="2"/>
  <c r="D303" i="2"/>
  <c r="E303" i="2"/>
  <c r="F303" i="2"/>
  <c r="G303" i="2"/>
  <c r="H303" i="2"/>
  <c r="I303" i="2"/>
  <c r="J303" i="2"/>
  <c r="K303" i="2"/>
  <c r="B304" i="2"/>
  <c r="C304" i="2"/>
  <c r="D304" i="2"/>
  <c r="E304" i="2"/>
  <c r="F304" i="2"/>
  <c r="G304" i="2"/>
  <c r="H304" i="2"/>
  <c r="I304" i="2"/>
  <c r="J304" i="2"/>
  <c r="K304" i="2"/>
  <c r="B305" i="2"/>
  <c r="C305" i="2"/>
  <c r="D305" i="2"/>
  <c r="E305" i="2"/>
  <c r="F305" i="2"/>
  <c r="G305" i="2"/>
  <c r="H305" i="2"/>
  <c r="I305" i="2"/>
  <c r="J305" i="2"/>
  <c r="K305" i="2"/>
  <c r="B306" i="2"/>
  <c r="C306" i="2"/>
  <c r="D306" i="2"/>
  <c r="E306" i="2"/>
  <c r="F306" i="2"/>
  <c r="G306" i="2"/>
  <c r="H306" i="2"/>
  <c r="I306" i="2"/>
  <c r="J306" i="2"/>
  <c r="K306" i="2"/>
  <c r="B307" i="2"/>
  <c r="C307" i="2"/>
  <c r="D307" i="2"/>
  <c r="E307" i="2"/>
  <c r="F307" i="2"/>
  <c r="G307" i="2"/>
  <c r="H307" i="2"/>
  <c r="I307" i="2"/>
  <c r="J307" i="2"/>
  <c r="K307" i="2"/>
  <c r="B308" i="2"/>
  <c r="C308" i="2"/>
  <c r="D308" i="2"/>
  <c r="E308" i="2"/>
  <c r="F308" i="2"/>
  <c r="G308" i="2"/>
  <c r="H308" i="2"/>
  <c r="I308" i="2"/>
  <c r="J308" i="2"/>
  <c r="K308" i="2"/>
  <c r="B309" i="2"/>
  <c r="C309" i="2"/>
  <c r="D309" i="2"/>
  <c r="E309" i="2"/>
  <c r="F309" i="2"/>
  <c r="G309" i="2"/>
  <c r="H309" i="2"/>
  <c r="I309" i="2"/>
  <c r="J309" i="2"/>
  <c r="K309" i="2"/>
  <c r="B310" i="2"/>
  <c r="C310" i="2"/>
  <c r="D310" i="2"/>
  <c r="E310" i="2"/>
  <c r="F310" i="2"/>
  <c r="G310" i="2"/>
  <c r="H310" i="2"/>
  <c r="I310" i="2"/>
  <c r="J310" i="2"/>
  <c r="K310" i="2"/>
  <c r="B311" i="2"/>
  <c r="C311" i="2"/>
  <c r="D311" i="2"/>
  <c r="E311" i="2"/>
  <c r="F311" i="2"/>
  <c r="G311" i="2"/>
  <c r="H311" i="2"/>
  <c r="I311" i="2"/>
  <c r="J311" i="2"/>
  <c r="K311" i="2"/>
  <c r="B312" i="2"/>
  <c r="C312" i="2"/>
  <c r="D312" i="2"/>
  <c r="E312" i="2"/>
  <c r="F312" i="2"/>
  <c r="G312" i="2"/>
  <c r="H312" i="2"/>
  <c r="I312" i="2"/>
  <c r="J312" i="2"/>
  <c r="K312" i="2"/>
  <c r="B313" i="2"/>
  <c r="C313" i="2"/>
  <c r="D313" i="2"/>
  <c r="E313" i="2"/>
  <c r="F313" i="2"/>
  <c r="G313" i="2"/>
  <c r="H313" i="2"/>
  <c r="I313" i="2"/>
  <c r="J313" i="2"/>
  <c r="K313" i="2"/>
  <c r="B314" i="2"/>
  <c r="C314" i="2"/>
  <c r="D314" i="2"/>
  <c r="E314" i="2"/>
  <c r="F314" i="2"/>
  <c r="G314" i="2"/>
  <c r="H314" i="2"/>
  <c r="I314" i="2"/>
  <c r="J314" i="2"/>
  <c r="K314" i="2"/>
  <c r="B315" i="2"/>
  <c r="C315" i="2"/>
  <c r="D315" i="2"/>
  <c r="E315" i="2"/>
  <c r="F315" i="2"/>
  <c r="G315" i="2"/>
  <c r="H315" i="2"/>
  <c r="I315" i="2"/>
  <c r="J315" i="2"/>
  <c r="K315" i="2"/>
  <c r="B316" i="2"/>
  <c r="C316" i="2"/>
  <c r="D316" i="2"/>
  <c r="E316" i="2"/>
  <c r="F316" i="2"/>
  <c r="G316" i="2"/>
  <c r="H316" i="2"/>
  <c r="I316" i="2"/>
  <c r="J316" i="2"/>
  <c r="K316" i="2"/>
  <c r="B317" i="2"/>
  <c r="C317" i="2"/>
  <c r="D317" i="2"/>
  <c r="E317" i="2"/>
  <c r="F317" i="2"/>
  <c r="G317" i="2"/>
  <c r="H317" i="2"/>
  <c r="I317" i="2"/>
  <c r="J317" i="2"/>
  <c r="K317" i="2"/>
  <c r="B318" i="2"/>
  <c r="C318" i="2"/>
  <c r="D318" i="2"/>
  <c r="E318" i="2"/>
  <c r="F318" i="2"/>
  <c r="G318" i="2"/>
  <c r="H318" i="2"/>
  <c r="I318" i="2"/>
  <c r="J318" i="2"/>
  <c r="K318" i="2"/>
  <c r="B319" i="2"/>
  <c r="C319" i="2"/>
  <c r="D319" i="2"/>
  <c r="E319" i="2"/>
  <c r="F319" i="2"/>
  <c r="G319" i="2"/>
  <c r="H319" i="2"/>
  <c r="I319" i="2"/>
  <c r="J319" i="2"/>
  <c r="K319" i="2"/>
  <c r="B320" i="2"/>
  <c r="C320" i="2"/>
  <c r="D320" i="2"/>
  <c r="E320" i="2"/>
  <c r="F320" i="2"/>
  <c r="G320" i="2"/>
  <c r="H320" i="2"/>
  <c r="I320" i="2"/>
  <c r="J320" i="2"/>
  <c r="K320" i="2"/>
  <c r="B321" i="2"/>
  <c r="C321" i="2"/>
  <c r="D321" i="2"/>
  <c r="E321" i="2"/>
  <c r="F321" i="2"/>
  <c r="G321" i="2"/>
  <c r="H321" i="2"/>
  <c r="I321" i="2"/>
  <c r="J321" i="2"/>
  <c r="K321" i="2"/>
  <c r="B322" i="2"/>
  <c r="C322" i="2"/>
  <c r="D322" i="2"/>
  <c r="E322" i="2"/>
  <c r="F322" i="2"/>
  <c r="G322" i="2"/>
  <c r="H322" i="2"/>
  <c r="I322" i="2"/>
  <c r="J322" i="2"/>
  <c r="K322" i="2"/>
  <c r="B323" i="2"/>
  <c r="C323" i="2"/>
  <c r="D323" i="2"/>
  <c r="E323" i="2"/>
  <c r="F323" i="2"/>
  <c r="G323" i="2"/>
  <c r="H323" i="2"/>
  <c r="I323" i="2"/>
  <c r="J323" i="2"/>
  <c r="K323" i="2"/>
  <c r="B324" i="2"/>
  <c r="C324" i="2"/>
  <c r="D324" i="2"/>
  <c r="E324" i="2"/>
  <c r="F324" i="2"/>
  <c r="G324" i="2"/>
  <c r="H324" i="2"/>
  <c r="I324" i="2"/>
  <c r="J324" i="2"/>
  <c r="K324" i="2"/>
  <c r="B325" i="2"/>
  <c r="C325" i="2"/>
  <c r="D325" i="2"/>
  <c r="E325" i="2"/>
  <c r="F325" i="2"/>
  <c r="G325" i="2"/>
  <c r="H325" i="2"/>
  <c r="I325" i="2"/>
  <c r="J325" i="2"/>
  <c r="K325" i="2"/>
  <c r="B326" i="2"/>
  <c r="C326" i="2"/>
  <c r="D326" i="2"/>
  <c r="E326" i="2"/>
  <c r="F326" i="2"/>
  <c r="G326" i="2"/>
  <c r="H326" i="2"/>
  <c r="I326" i="2"/>
  <c r="J326" i="2"/>
  <c r="K326" i="2"/>
  <c r="B327" i="2"/>
  <c r="C327" i="2"/>
  <c r="D327" i="2"/>
  <c r="E327" i="2"/>
  <c r="F327" i="2"/>
  <c r="G327" i="2"/>
  <c r="H327" i="2"/>
  <c r="I327" i="2"/>
  <c r="J327" i="2"/>
  <c r="K327" i="2"/>
  <c r="B328" i="2"/>
  <c r="C328" i="2"/>
  <c r="D328" i="2"/>
  <c r="E328" i="2"/>
  <c r="F328" i="2"/>
  <c r="G328" i="2"/>
  <c r="H328" i="2"/>
  <c r="I328" i="2"/>
  <c r="J328" i="2"/>
  <c r="K328" i="2"/>
  <c r="B329" i="2"/>
  <c r="C329" i="2"/>
  <c r="D329" i="2"/>
  <c r="E329" i="2"/>
  <c r="F329" i="2"/>
  <c r="G329" i="2"/>
  <c r="H329" i="2"/>
  <c r="I329" i="2"/>
  <c r="J329" i="2"/>
  <c r="K329" i="2"/>
  <c r="B330" i="2"/>
  <c r="C330" i="2"/>
  <c r="D330" i="2"/>
  <c r="E330" i="2"/>
  <c r="F330" i="2"/>
  <c r="G330" i="2"/>
  <c r="H330" i="2"/>
  <c r="I330" i="2"/>
  <c r="J330" i="2"/>
  <c r="K330" i="2"/>
  <c r="B331" i="2"/>
  <c r="C331" i="2"/>
  <c r="D331" i="2"/>
  <c r="E331" i="2"/>
  <c r="F331" i="2"/>
  <c r="G331" i="2"/>
  <c r="H331" i="2"/>
  <c r="I331" i="2"/>
  <c r="J331" i="2"/>
  <c r="K331" i="2"/>
  <c r="B332" i="2"/>
  <c r="C332" i="2"/>
  <c r="D332" i="2"/>
  <c r="E332" i="2"/>
  <c r="F332" i="2"/>
  <c r="G332" i="2"/>
  <c r="H332" i="2"/>
  <c r="I332" i="2"/>
  <c r="J332" i="2"/>
  <c r="K332" i="2"/>
  <c r="B333" i="2"/>
  <c r="C333" i="2"/>
  <c r="D333" i="2"/>
  <c r="E333" i="2"/>
  <c r="F333" i="2"/>
  <c r="G333" i="2"/>
  <c r="H333" i="2"/>
  <c r="I333" i="2"/>
  <c r="J333" i="2"/>
  <c r="K333" i="2"/>
  <c r="B334" i="2"/>
  <c r="C334" i="2"/>
  <c r="D334" i="2"/>
  <c r="E334" i="2"/>
  <c r="F334" i="2"/>
  <c r="G334" i="2"/>
  <c r="H334" i="2"/>
  <c r="I334" i="2"/>
  <c r="J334" i="2"/>
  <c r="K334" i="2"/>
  <c r="B335" i="2"/>
  <c r="C335" i="2"/>
  <c r="D335" i="2"/>
  <c r="E335" i="2"/>
  <c r="F335" i="2"/>
  <c r="G335" i="2"/>
  <c r="H335" i="2"/>
  <c r="I335" i="2"/>
  <c r="J335" i="2"/>
  <c r="K335" i="2"/>
  <c r="B336" i="2"/>
  <c r="C336" i="2"/>
  <c r="D336" i="2"/>
  <c r="E336" i="2"/>
  <c r="F336" i="2"/>
  <c r="G336" i="2"/>
  <c r="H336" i="2"/>
  <c r="I336" i="2"/>
  <c r="J336" i="2"/>
  <c r="K336" i="2"/>
  <c r="B337" i="2"/>
  <c r="C337" i="2"/>
  <c r="D337" i="2"/>
  <c r="E337" i="2"/>
  <c r="F337" i="2"/>
  <c r="G337" i="2"/>
  <c r="H337" i="2"/>
  <c r="I337" i="2"/>
  <c r="J337" i="2"/>
  <c r="K337" i="2"/>
  <c r="B338" i="2"/>
  <c r="C338" i="2"/>
  <c r="D338" i="2"/>
  <c r="E338" i="2"/>
  <c r="F338" i="2"/>
  <c r="G338" i="2"/>
  <c r="H338" i="2"/>
  <c r="I338" i="2"/>
  <c r="J338" i="2"/>
  <c r="K338" i="2"/>
  <c r="B339" i="2"/>
  <c r="C339" i="2"/>
  <c r="D339" i="2"/>
  <c r="E339" i="2"/>
  <c r="F339" i="2"/>
  <c r="G339" i="2"/>
  <c r="H339" i="2"/>
  <c r="I339" i="2"/>
  <c r="J339" i="2"/>
  <c r="K339" i="2"/>
  <c r="B340" i="2"/>
  <c r="C340" i="2"/>
  <c r="D340" i="2"/>
  <c r="E340" i="2"/>
  <c r="F340" i="2"/>
  <c r="G340" i="2"/>
  <c r="H340" i="2"/>
  <c r="I340" i="2"/>
  <c r="J340" i="2"/>
  <c r="K340" i="2"/>
  <c r="B341" i="2"/>
  <c r="C341" i="2"/>
  <c r="D341" i="2"/>
  <c r="E341" i="2"/>
  <c r="F341" i="2"/>
  <c r="G341" i="2"/>
  <c r="H341" i="2"/>
  <c r="I341" i="2"/>
  <c r="J341" i="2"/>
  <c r="K341" i="2"/>
  <c r="B342" i="2"/>
  <c r="C342" i="2"/>
  <c r="D342" i="2"/>
  <c r="E342" i="2"/>
  <c r="F342" i="2"/>
  <c r="G342" i="2"/>
  <c r="H342" i="2"/>
  <c r="I342" i="2"/>
  <c r="J342" i="2"/>
  <c r="K342" i="2"/>
  <c r="B343" i="2"/>
  <c r="C343" i="2"/>
  <c r="D343" i="2"/>
  <c r="E343" i="2"/>
  <c r="F343" i="2"/>
  <c r="G343" i="2"/>
  <c r="H343" i="2"/>
  <c r="I343" i="2"/>
  <c r="J343" i="2"/>
  <c r="K343" i="2"/>
  <c r="B344" i="2"/>
  <c r="C344" i="2"/>
  <c r="D344" i="2"/>
  <c r="E344" i="2"/>
  <c r="F344" i="2"/>
  <c r="G344" i="2"/>
  <c r="H344" i="2"/>
  <c r="I344" i="2"/>
  <c r="J344" i="2"/>
  <c r="K344" i="2"/>
  <c r="B345" i="2"/>
  <c r="C345" i="2"/>
  <c r="D345" i="2"/>
  <c r="E345" i="2"/>
  <c r="F345" i="2"/>
  <c r="G345" i="2"/>
  <c r="H345" i="2"/>
  <c r="I345" i="2"/>
  <c r="J345" i="2"/>
  <c r="K345" i="2"/>
  <c r="B346" i="2"/>
  <c r="C346" i="2"/>
  <c r="D346" i="2"/>
  <c r="E346" i="2"/>
  <c r="F346" i="2"/>
  <c r="G346" i="2"/>
  <c r="H346" i="2"/>
  <c r="I346" i="2"/>
  <c r="J346" i="2"/>
  <c r="K346" i="2"/>
  <c r="B347" i="2"/>
  <c r="C347" i="2"/>
  <c r="D347" i="2"/>
  <c r="E347" i="2"/>
  <c r="F347" i="2"/>
  <c r="G347" i="2"/>
  <c r="H347" i="2"/>
  <c r="I347" i="2"/>
  <c r="J347" i="2"/>
  <c r="K347" i="2"/>
  <c r="B348" i="2"/>
  <c r="C348" i="2"/>
  <c r="D348" i="2"/>
  <c r="E348" i="2"/>
  <c r="F348" i="2"/>
  <c r="G348" i="2"/>
  <c r="H348" i="2"/>
  <c r="I348" i="2"/>
  <c r="J348" i="2"/>
  <c r="K348" i="2"/>
  <c r="B349" i="2"/>
  <c r="C349" i="2"/>
  <c r="D349" i="2"/>
  <c r="E349" i="2"/>
  <c r="F349" i="2"/>
  <c r="G349" i="2"/>
  <c r="H349" i="2"/>
  <c r="I349" i="2"/>
  <c r="J349" i="2"/>
  <c r="K349" i="2"/>
  <c r="B350" i="2"/>
  <c r="C350" i="2"/>
  <c r="D350" i="2"/>
  <c r="E350" i="2"/>
  <c r="F350" i="2"/>
  <c r="G350" i="2"/>
  <c r="H350" i="2"/>
  <c r="I350" i="2"/>
  <c r="J350" i="2"/>
  <c r="K350" i="2"/>
  <c r="B351" i="2"/>
  <c r="C351" i="2"/>
  <c r="D351" i="2"/>
  <c r="E351" i="2"/>
  <c r="F351" i="2"/>
  <c r="G351" i="2"/>
  <c r="H351" i="2"/>
  <c r="I351" i="2"/>
  <c r="J351" i="2"/>
  <c r="K351" i="2"/>
  <c r="B352" i="2"/>
  <c r="C352" i="2"/>
  <c r="D352" i="2"/>
  <c r="E352" i="2"/>
  <c r="F352" i="2"/>
  <c r="G352" i="2"/>
  <c r="H352" i="2"/>
  <c r="I352" i="2"/>
  <c r="J352" i="2"/>
  <c r="K352" i="2"/>
  <c r="B353" i="2"/>
  <c r="C353" i="2"/>
  <c r="D353" i="2"/>
  <c r="E353" i="2"/>
  <c r="F353" i="2"/>
  <c r="G353" i="2"/>
  <c r="H353" i="2"/>
  <c r="I353" i="2"/>
  <c r="J353" i="2"/>
  <c r="K353" i="2"/>
  <c r="B354" i="2"/>
  <c r="C354" i="2"/>
  <c r="D354" i="2"/>
  <c r="E354" i="2"/>
  <c r="F354" i="2"/>
  <c r="G354" i="2"/>
  <c r="H354" i="2"/>
  <c r="I354" i="2"/>
  <c r="J354" i="2"/>
  <c r="K354" i="2"/>
  <c r="B355" i="2"/>
  <c r="C355" i="2"/>
  <c r="D355" i="2"/>
  <c r="E355" i="2"/>
  <c r="F355" i="2"/>
  <c r="G355" i="2"/>
  <c r="H355" i="2"/>
  <c r="I355" i="2"/>
  <c r="J355" i="2"/>
  <c r="K355" i="2"/>
  <c r="B356" i="2"/>
  <c r="C356" i="2"/>
  <c r="D356" i="2"/>
  <c r="E356" i="2"/>
  <c r="F356" i="2"/>
  <c r="G356" i="2"/>
  <c r="H356" i="2"/>
  <c r="I356" i="2"/>
  <c r="J356" i="2"/>
  <c r="K356" i="2"/>
  <c r="B357" i="2"/>
  <c r="C357" i="2"/>
  <c r="D357" i="2"/>
  <c r="E357" i="2"/>
  <c r="F357" i="2"/>
  <c r="G357" i="2"/>
  <c r="H357" i="2"/>
  <c r="I357" i="2"/>
  <c r="J357" i="2"/>
  <c r="K357" i="2"/>
  <c r="B358" i="2"/>
  <c r="C358" i="2"/>
  <c r="D358" i="2"/>
  <c r="E358" i="2"/>
  <c r="F358" i="2"/>
  <c r="G358" i="2"/>
  <c r="H358" i="2"/>
  <c r="I358" i="2"/>
  <c r="J358" i="2"/>
  <c r="K358" i="2"/>
  <c r="B359" i="2"/>
  <c r="C359" i="2"/>
  <c r="D359" i="2"/>
  <c r="E359" i="2"/>
  <c r="F359" i="2"/>
  <c r="G359" i="2"/>
  <c r="H359" i="2"/>
  <c r="I359" i="2"/>
  <c r="J359" i="2"/>
  <c r="K359" i="2"/>
  <c r="B360" i="2"/>
  <c r="C360" i="2"/>
  <c r="D360" i="2"/>
  <c r="E360" i="2"/>
  <c r="F360" i="2"/>
  <c r="G360" i="2"/>
  <c r="H360" i="2"/>
  <c r="I360" i="2"/>
  <c r="J360" i="2"/>
  <c r="K360" i="2"/>
  <c r="B361" i="2"/>
  <c r="C361" i="2"/>
  <c r="D361" i="2"/>
  <c r="E361" i="2"/>
  <c r="F361" i="2"/>
  <c r="G361" i="2"/>
  <c r="H361" i="2"/>
  <c r="I361" i="2"/>
  <c r="J361" i="2"/>
  <c r="K361" i="2"/>
  <c r="B362" i="2"/>
  <c r="C362" i="2"/>
  <c r="D362" i="2"/>
  <c r="E362" i="2"/>
  <c r="F362" i="2"/>
  <c r="G362" i="2"/>
  <c r="H362" i="2"/>
  <c r="I362" i="2"/>
  <c r="J362" i="2"/>
  <c r="K362" i="2"/>
  <c r="B363" i="2"/>
  <c r="C363" i="2"/>
  <c r="D363" i="2"/>
  <c r="E363" i="2"/>
  <c r="F363" i="2"/>
  <c r="G363" i="2"/>
  <c r="H363" i="2"/>
  <c r="I363" i="2"/>
  <c r="J363" i="2"/>
  <c r="K363" i="2"/>
  <c r="B364" i="2"/>
  <c r="C364" i="2"/>
  <c r="D364" i="2"/>
  <c r="E364" i="2"/>
  <c r="F364" i="2"/>
  <c r="G364" i="2"/>
  <c r="H364" i="2"/>
  <c r="I364" i="2"/>
  <c r="J364" i="2"/>
  <c r="K364" i="2"/>
  <c r="B365" i="2"/>
  <c r="C365" i="2"/>
  <c r="D365" i="2"/>
  <c r="E365" i="2"/>
  <c r="F365" i="2"/>
  <c r="G365" i="2"/>
  <c r="H365" i="2"/>
  <c r="I365" i="2"/>
  <c r="J365" i="2"/>
  <c r="K365" i="2"/>
  <c r="B366" i="2"/>
  <c r="C366" i="2"/>
  <c r="D366" i="2"/>
  <c r="E366" i="2"/>
  <c r="F366" i="2"/>
  <c r="G366" i="2"/>
  <c r="H366" i="2"/>
  <c r="I366" i="2"/>
  <c r="J366" i="2"/>
  <c r="K366" i="2"/>
  <c r="B367" i="2"/>
  <c r="C367" i="2"/>
  <c r="D367" i="2"/>
  <c r="E367" i="2"/>
  <c r="F367" i="2"/>
  <c r="G367" i="2"/>
  <c r="H367" i="2"/>
  <c r="I367" i="2"/>
  <c r="J367" i="2"/>
  <c r="K367" i="2"/>
  <c r="B368" i="2"/>
  <c r="C368" i="2"/>
  <c r="D368" i="2"/>
  <c r="E368" i="2"/>
  <c r="F368" i="2"/>
  <c r="G368" i="2"/>
  <c r="H368" i="2"/>
  <c r="I368" i="2"/>
  <c r="J368" i="2"/>
  <c r="K368" i="2"/>
  <c r="B369" i="2"/>
  <c r="C369" i="2"/>
  <c r="D369" i="2"/>
  <c r="E369" i="2"/>
  <c r="F369" i="2"/>
  <c r="G369" i="2"/>
  <c r="H369" i="2"/>
  <c r="I369" i="2"/>
  <c r="J369" i="2"/>
  <c r="K369" i="2"/>
  <c r="B370" i="2"/>
  <c r="C370" i="2"/>
  <c r="D370" i="2"/>
  <c r="E370" i="2"/>
  <c r="F370" i="2"/>
  <c r="G370" i="2"/>
  <c r="H370" i="2"/>
  <c r="I370" i="2"/>
  <c r="J370" i="2"/>
  <c r="K370" i="2"/>
  <c r="B371" i="2"/>
  <c r="C371" i="2"/>
  <c r="D371" i="2"/>
  <c r="E371" i="2"/>
  <c r="F371" i="2"/>
  <c r="G371" i="2"/>
  <c r="H371" i="2"/>
  <c r="I371" i="2"/>
  <c r="J371" i="2"/>
  <c r="K371" i="2"/>
  <c r="B372" i="2"/>
  <c r="C372" i="2"/>
  <c r="D372" i="2"/>
  <c r="E372" i="2"/>
  <c r="F372" i="2"/>
  <c r="G372" i="2"/>
  <c r="H372" i="2"/>
  <c r="I372" i="2"/>
  <c r="J372" i="2"/>
  <c r="K372" i="2"/>
  <c r="B373" i="2"/>
  <c r="C373" i="2"/>
  <c r="D373" i="2"/>
  <c r="E373" i="2"/>
  <c r="F373" i="2"/>
  <c r="G373" i="2"/>
  <c r="H373" i="2"/>
  <c r="I373" i="2"/>
  <c r="J373" i="2"/>
  <c r="K373" i="2"/>
  <c r="B374" i="2"/>
  <c r="C374" i="2"/>
  <c r="D374" i="2"/>
  <c r="E374" i="2"/>
  <c r="F374" i="2"/>
  <c r="G374" i="2"/>
  <c r="H374" i="2"/>
  <c r="I374" i="2"/>
  <c r="J374" i="2"/>
  <c r="K374" i="2"/>
  <c r="B375" i="2"/>
  <c r="C375" i="2"/>
  <c r="D375" i="2"/>
  <c r="E375" i="2"/>
  <c r="F375" i="2"/>
  <c r="G375" i="2"/>
  <c r="H375" i="2"/>
  <c r="I375" i="2"/>
  <c r="J375" i="2"/>
  <c r="K375" i="2"/>
  <c r="B376" i="2"/>
  <c r="C376" i="2"/>
  <c r="D376" i="2"/>
  <c r="E376" i="2"/>
  <c r="F376" i="2"/>
  <c r="G376" i="2"/>
  <c r="H376" i="2"/>
  <c r="I376" i="2"/>
  <c r="J376" i="2"/>
  <c r="K376" i="2"/>
  <c r="B377" i="2"/>
  <c r="C377" i="2"/>
  <c r="D377" i="2"/>
  <c r="E377" i="2"/>
  <c r="F377" i="2"/>
  <c r="G377" i="2"/>
  <c r="H377" i="2"/>
  <c r="I377" i="2"/>
  <c r="J377" i="2"/>
  <c r="K377" i="2"/>
  <c r="B378" i="2"/>
  <c r="C378" i="2"/>
  <c r="D378" i="2"/>
  <c r="E378" i="2"/>
  <c r="F378" i="2"/>
  <c r="G378" i="2"/>
  <c r="H378" i="2"/>
  <c r="I378" i="2"/>
  <c r="J378" i="2"/>
  <c r="K378" i="2"/>
  <c r="B379" i="2"/>
  <c r="C379" i="2"/>
  <c r="D379" i="2"/>
  <c r="E379" i="2"/>
  <c r="F379" i="2"/>
  <c r="G379" i="2"/>
  <c r="H379" i="2"/>
  <c r="I379" i="2"/>
  <c r="J379" i="2"/>
  <c r="K379" i="2"/>
  <c r="B380" i="2"/>
  <c r="C380" i="2"/>
  <c r="D380" i="2"/>
  <c r="E380" i="2"/>
  <c r="F380" i="2"/>
  <c r="G380" i="2"/>
  <c r="H380" i="2"/>
  <c r="I380" i="2"/>
  <c r="J380" i="2"/>
  <c r="K380" i="2"/>
  <c r="B381" i="2"/>
  <c r="C381" i="2"/>
  <c r="D381" i="2"/>
  <c r="E381" i="2"/>
  <c r="F381" i="2"/>
  <c r="G381" i="2"/>
  <c r="H381" i="2"/>
  <c r="I381" i="2"/>
  <c r="J381" i="2"/>
  <c r="K381" i="2"/>
  <c r="B382" i="2"/>
  <c r="C382" i="2"/>
  <c r="D382" i="2"/>
  <c r="E382" i="2"/>
  <c r="F382" i="2"/>
  <c r="G382" i="2"/>
  <c r="H382" i="2"/>
  <c r="I382" i="2"/>
  <c r="J382" i="2"/>
  <c r="K382" i="2"/>
  <c r="B383" i="2"/>
  <c r="C383" i="2"/>
  <c r="D383" i="2"/>
  <c r="E383" i="2"/>
  <c r="F383" i="2"/>
  <c r="G383" i="2"/>
  <c r="H383" i="2"/>
  <c r="I383" i="2"/>
  <c r="J383" i="2"/>
  <c r="K383" i="2"/>
  <c r="B384" i="2"/>
  <c r="C384" i="2"/>
  <c r="D384" i="2"/>
  <c r="E384" i="2"/>
  <c r="F384" i="2"/>
  <c r="G384" i="2"/>
  <c r="H384" i="2"/>
  <c r="I384" i="2"/>
  <c r="J384" i="2"/>
  <c r="K384" i="2"/>
  <c r="B385" i="2"/>
  <c r="C385" i="2"/>
  <c r="D385" i="2"/>
  <c r="E385" i="2"/>
  <c r="F385" i="2"/>
  <c r="G385" i="2"/>
  <c r="H385" i="2"/>
  <c r="I385" i="2"/>
  <c r="J385" i="2"/>
  <c r="K385" i="2"/>
  <c r="B386" i="2"/>
  <c r="C386" i="2"/>
  <c r="D386" i="2"/>
  <c r="E386" i="2"/>
  <c r="F386" i="2"/>
  <c r="G386" i="2"/>
  <c r="H386" i="2"/>
  <c r="I386" i="2"/>
  <c r="J386" i="2"/>
  <c r="K386" i="2"/>
  <c r="B387" i="2"/>
  <c r="C387" i="2"/>
  <c r="D387" i="2"/>
  <c r="E387" i="2"/>
  <c r="F387" i="2"/>
  <c r="G387" i="2"/>
  <c r="H387" i="2"/>
  <c r="I387" i="2"/>
  <c r="J387" i="2"/>
  <c r="K387" i="2"/>
  <c r="B388" i="2"/>
  <c r="C388" i="2"/>
  <c r="D388" i="2"/>
  <c r="E388" i="2"/>
  <c r="F388" i="2"/>
  <c r="G388" i="2"/>
  <c r="H388" i="2"/>
  <c r="I388" i="2"/>
  <c r="J388" i="2"/>
  <c r="K388" i="2"/>
  <c r="B389" i="2"/>
  <c r="C389" i="2"/>
  <c r="D389" i="2"/>
  <c r="E389" i="2"/>
  <c r="F389" i="2"/>
  <c r="G389" i="2"/>
  <c r="H389" i="2"/>
  <c r="I389" i="2"/>
  <c r="J389" i="2"/>
  <c r="K389" i="2"/>
  <c r="B390" i="2"/>
  <c r="C390" i="2"/>
  <c r="D390" i="2"/>
  <c r="E390" i="2"/>
  <c r="F390" i="2"/>
  <c r="G390" i="2"/>
  <c r="H390" i="2"/>
  <c r="I390" i="2"/>
  <c r="J390" i="2"/>
  <c r="K390" i="2"/>
  <c r="B391" i="2"/>
  <c r="C391" i="2"/>
  <c r="D391" i="2"/>
  <c r="E391" i="2"/>
  <c r="F391" i="2"/>
  <c r="G391" i="2"/>
  <c r="H391" i="2"/>
  <c r="I391" i="2"/>
  <c r="J391" i="2"/>
  <c r="K391" i="2"/>
  <c r="B392" i="2"/>
  <c r="C392" i="2"/>
  <c r="D392" i="2"/>
  <c r="E392" i="2"/>
  <c r="F392" i="2"/>
  <c r="G392" i="2"/>
  <c r="H392" i="2"/>
  <c r="I392" i="2"/>
  <c r="J392" i="2"/>
  <c r="K392" i="2"/>
  <c r="B393" i="2"/>
  <c r="C393" i="2"/>
  <c r="D393" i="2"/>
  <c r="E393" i="2"/>
  <c r="F393" i="2"/>
  <c r="G393" i="2"/>
  <c r="H393" i="2"/>
  <c r="I393" i="2"/>
  <c r="J393" i="2"/>
  <c r="K393" i="2"/>
  <c r="B394" i="2"/>
  <c r="C394" i="2"/>
  <c r="D394" i="2"/>
  <c r="E394" i="2"/>
  <c r="F394" i="2"/>
  <c r="G394" i="2"/>
  <c r="H394" i="2"/>
  <c r="I394" i="2"/>
  <c r="J394" i="2"/>
  <c r="K394" i="2"/>
  <c r="B395" i="2"/>
  <c r="C395" i="2"/>
  <c r="D395" i="2"/>
  <c r="E395" i="2"/>
  <c r="F395" i="2"/>
  <c r="G395" i="2"/>
  <c r="H395" i="2"/>
  <c r="I395" i="2"/>
  <c r="J395" i="2"/>
  <c r="K395" i="2"/>
  <c r="B396" i="2"/>
  <c r="C396" i="2"/>
  <c r="D396" i="2"/>
  <c r="E396" i="2"/>
  <c r="F396" i="2"/>
  <c r="G396" i="2"/>
  <c r="H396" i="2"/>
  <c r="I396" i="2"/>
  <c r="J396" i="2"/>
  <c r="K396" i="2"/>
  <c r="C3" i="2"/>
  <c r="D3" i="2"/>
  <c r="E3" i="2"/>
  <c r="F3" i="2"/>
  <c r="G3" i="2"/>
  <c r="H3" i="2"/>
  <c r="I3" i="2"/>
  <c r="J3" i="2"/>
  <c r="K3" i="2"/>
  <c r="B3" i="2"/>
  <c r="L399" i="5" l="1"/>
  <c r="B2" i="4"/>
  <c r="K6" i="4"/>
  <c r="K31" i="4" s="1"/>
  <c r="B18" i="7"/>
  <c r="G4" i="11"/>
  <c r="G4" i="10" s="1"/>
  <c r="D5" i="11"/>
  <c r="D5" i="10" s="1"/>
  <c r="F5" i="11"/>
  <c r="F5" i="10" s="1"/>
  <c r="D11" i="11"/>
  <c r="D11" i="10" s="1"/>
  <c r="C3" i="11"/>
  <c r="G10" i="11"/>
  <c r="G10" i="10" s="1"/>
  <c r="E4" i="11"/>
  <c r="E4" i="10" s="1"/>
  <c r="H9" i="11"/>
  <c r="H9" i="10" s="1"/>
  <c r="G22" i="10" s="1"/>
  <c r="K8" i="4"/>
  <c r="K33" i="4" s="1"/>
  <c r="B7" i="8"/>
  <c r="C7" i="8" s="1"/>
  <c r="B11" i="8"/>
  <c r="C11" i="8" s="1"/>
  <c r="B3" i="8"/>
  <c r="C3" i="8" s="1"/>
  <c r="G3" i="11"/>
  <c r="G3" i="10" s="1"/>
  <c r="E7" i="11"/>
  <c r="E7" i="10" s="1"/>
  <c r="C6" i="11"/>
  <c r="C6" i="10" s="1"/>
  <c r="K5" i="4"/>
  <c r="K30" i="4" s="1"/>
  <c r="C6" i="4"/>
  <c r="C31" i="4" s="1"/>
  <c r="G399" i="2"/>
  <c r="G777" i="2" s="1"/>
  <c r="I9" i="4"/>
  <c r="K3" i="4"/>
  <c r="K28" i="4" s="1"/>
  <c r="E2" i="11"/>
  <c r="E2" i="10" s="1"/>
  <c r="B7" i="11"/>
  <c r="B7" i="10" s="1"/>
  <c r="H11" i="11"/>
  <c r="H11" i="10" s="1"/>
  <c r="I22" i="10" s="1"/>
  <c r="J9" i="11"/>
  <c r="J9" i="10" s="1"/>
  <c r="D7" i="11"/>
  <c r="D7" i="10" s="1"/>
  <c r="E6" i="11"/>
  <c r="E6" i="10" s="1"/>
  <c r="B21" i="7"/>
  <c r="B6" i="8"/>
  <c r="C6" i="8" s="1"/>
  <c r="J2" i="11"/>
  <c r="J2" i="10" s="1"/>
  <c r="B3" i="11"/>
  <c r="B3" i="10" s="1"/>
  <c r="D3" i="11"/>
  <c r="D3" i="10" s="1"/>
  <c r="B10" i="11"/>
  <c r="B10" i="10" s="1"/>
  <c r="E11" i="11"/>
  <c r="E11" i="10" s="1"/>
  <c r="F10" i="11"/>
  <c r="F10" i="10" s="1"/>
  <c r="G9" i="11"/>
  <c r="G9" i="10" s="1"/>
  <c r="H8" i="11"/>
  <c r="I7" i="11"/>
  <c r="I7" i="10" s="1"/>
  <c r="J6" i="11"/>
  <c r="J6" i="10" s="1"/>
  <c r="K5" i="11"/>
  <c r="K5" i="10" s="1"/>
  <c r="C5" i="11"/>
  <c r="C5" i="10" s="1"/>
  <c r="D22" i="10" s="1"/>
  <c r="D4" i="11"/>
  <c r="I2" i="11"/>
  <c r="I2" i="10" s="1"/>
  <c r="K3" i="11"/>
  <c r="K3" i="10" s="1"/>
  <c r="B11" i="11"/>
  <c r="B11" i="10" s="1"/>
  <c r="E10" i="11"/>
  <c r="E10" i="10" s="1"/>
  <c r="F9" i="11"/>
  <c r="F9" i="10" s="1"/>
  <c r="G8" i="11"/>
  <c r="G8" i="10" s="1"/>
  <c r="H7" i="11"/>
  <c r="H7" i="10" s="1"/>
  <c r="F22" i="10" s="1"/>
  <c r="I6" i="11"/>
  <c r="I6" i="10" s="1"/>
  <c r="J5" i="11"/>
  <c r="J5" i="10" s="1"/>
  <c r="K4" i="11"/>
  <c r="K4" i="10" s="1"/>
  <c r="C4" i="11"/>
  <c r="C4" i="10" s="1"/>
  <c r="J3" i="4"/>
  <c r="J28" i="4" s="1"/>
  <c r="C11" i="4"/>
  <c r="C36" i="4" s="1"/>
  <c r="B14" i="7"/>
  <c r="B22" i="7"/>
  <c r="B11" i="4"/>
  <c r="H3" i="4"/>
  <c r="H28" i="4" s="1"/>
  <c r="B15" i="7"/>
  <c r="B23" i="7"/>
  <c r="B8" i="8"/>
  <c r="C8" i="8" s="1"/>
  <c r="H2" i="11"/>
  <c r="H2" i="10" s="1"/>
  <c r="J3" i="11"/>
  <c r="J3" i="10" s="1"/>
  <c r="B4" i="11"/>
  <c r="B4" i="10" s="1"/>
  <c r="K11" i="11"/>
  <c r="C11" i="11"/>
  <c r="C11" i="10" s="1"/>
  <c r="D10" i="11"/>
  <c r="D10" i="10" s="1"/>
  <c r="E9" i="11"/>
  <c r="E9" i="10" s="1"/>
  <c r="F8" i="11"/>
  <c r="F8" i="10" s="1"/>
  <c r="G7" i="11"/>
  <c r="H6" i="11"/>
  <c r="H6" i="10" s="1"/>
  <c r="E22" i="10" s="1"/>
  <c r="I5" i="11"/>
  <c r="I5" i="10" s="1"/>
  <c r="J4" i="11"/>
  <c r="J4" i="10" s="1"/>
  <c r="B16" i="7"/>
  <c r="B9" i="8"/>
  <c r="C9" i="8" s="1"/>
  <c r="G2" i="11"/>
  <c r="G2" i="10" s="1"/>
  <c r="I3" i="11"/>
  <c r="I3" i="10" s="1"/>
  <c r="B5" i="11"/>
  <c r="B5" i="10" s="1"/>
  <c r="J11" i="11"/>
  <c r="J11" i="10" s="1"/>
  <c r="K10" i="11"/>
  <c r="K10" i="10" s="1"/>
  <c r="C10" i="11"/>
  <c r="C10" i="10" s="1"/>
  <c r="D9" i="11"/>
  <c r="D9" i="10" s="1"/>
  <c r="E8" i="11"/>
  <c r="E8" i="10" s="1"/>
  <c r="F7" i="11"/>
  <c r="F7" i="10" s="1"/>
  <c r="G6" i="11"/>
  <c r="G6" i="10" s="1"/>
  <c r="H5" i="11"/>
  <c r="H5" i="10" s="1"/>
  <c r="I4" i="11"/>
  <c r="I4" i="10" s="1"/>
  <c r="B17" i="7"/>
  <c r="B2" i="8"/>
  <c r="C2" i="8" s="1"/>
  <c r="B10" i="8"/>
  <c r="C10" i="8" s="1"/>
  <c r="F2" i="11"/>
  <c r="F2" i="10" s="1"/>
  <c r="H3" i="11"/>
  <c r="H3" i="10" s="1"/>
  <c r="M3" i="10" s="1"/>
  <c r="B6" i="11"/>
  <c r="B6" i="10" s="1"/>
  <c r="I11" i="11"/>
  <c r="I11" i="10" s="1"/>
  <c r="J10" i="11"/>
  <c r="K9" i="11"/>
  <c r="K9" i="10" s="1"/>
  <c r="C9" i="11"/>
  <c r="C9" i="10" s="1"/>
  <c r="D8" i="11"/>
  <c r="D8" i="10" s="1"/>
  <c r="F6" i="11"/>
  <c r="G5" i="11"/>
  <c r="G5" i="10" s="1"/>
  <c r="H4" i="11"/>
  <c r="H4" i="10" s="1"/>
  <c r="C22" i="10" s="1"/>
  <c r="H32" i="10" s="1"/>
  <c r="H7" i="4"/>
  <c r="H32" i="4" s="1"/>
  <c r="B19" i="7"/>
  <c r="B4" i="8"/>
  <c r="C4" i="8" s="1"/>
  <c r="B2" i="11"/>
  <c r="D2" i="11"/>
  <c r="D2" i="10" s="1"/>
  <c r="F3" i="11"/>
  <c r="F3" i="10" s="1"/>
  <c r="B8" i="11"/>
  <c r="B8" i="10" s="1"/>
  <c r="G11" i="11"/>
  <c r="G11" i="10" s="1"/>
  <c r="H10" i="11"/>
  <c r="H10" i="10" s="1"/>
  <c r="H22" i="10" s="1"/>
  <c r="I9" i="11"/>
  <c r="J8" i="11"/>
  <c r="J8" i="10" s="1"/>
  <c r="K7" i="11"/>
  <c r="K7" i="10" s="1"/>
  <c r="C7" i="11"/>
  <c r="C7" i="10" s="1"/>
  <c r="D6" i="11"/>
  <c r="D6" i="10" s="1"/>
  <c r="E5" i="11"/>
  <c r="F4" i="11"/>
  <c r="F4" i="10" s="1"/>
  <c r="I10" i="11"/>
  <c r="I10" i="10" s="1"/>
  <c r="K8" i="11"/>
  <c r="K8" i="10" s="1"/>
  <c r="C8" i="11"/>
  <c r="C8" i="10" s="1"/>
  <c r="B20" i="7"/>
  <c r="B5" i="8"/>
  <c r="C5" i="8" s="1"/>
  <c r="K2" i="11"/>
  <c r="K2" i="10" s="1"/>
  <c r="C2" i="11"/>
  <c r="C2" i="10" s="1"/>
  <c r="E3" i="11"/>
  <c r="E3" i="10" s="1"/>
  <c r="B9" i="11"/>
  <c r="B9" i="10" s="1"/>
  <c r="F11" i="11"/>
  <c r="F11" i="10" s="1"/>
  <c r="I8" i="11"/>
  <c r="I8" i="10" s="1"/>
  <c r="J7" i="11"/>
  <c r="J7" i="10" s="1"/>
  <c r="K6" i="11"/>
  <c r="K6" i="10" s="1"/>
  <c r="B16" i="9"/>
  <c r="C14" i="7"/>
  <c r="B27" i="4"/>
  <c r="B45" i="9"/>
  <c r="M67" i="10"/>
  <c r="M62" i="10"/>
  <c r="M56" i="10"/>
  <c r="M41" i="10"/>
  <c r="M49" i="10"/>
  <c r="M32" i="10"/>
  <c r="G3" i="4"/>
  <c r="G28" i="4" s="1"/>
  <c r="D7" i="4"/>
  <c r="D32" i="4" s="1"/>
  <c r="I3" i="4"/>
  <c r="I28" i="4" s="1"/>
  <c r="K11" i="4"/>
  <c r="E5" i="4"/>
  <c r="E6" i="4"/>
  <c r="E31" i="4" s="1"/>
  <c r="H6" i="4"/>
  <c r="H31" i="4" s="1"/>
  <c r="H2" i="4"/>
  <c r="H27" i="4" s="1"/>
  <c r="K7" i="4"/>
  <c r="K32" i="4" s="1"/>
  <c r="G2" i="4"/>
  <c r="G27" i="4" s="1"/>
  <c r="J7" i="4"/>
  <c r="J32" i="4" s="1"/>
  <c r="C8" i="4"/>
  <c r="C33" i="4" s="1"/>
  <c r="G7" i="4"/>
  <c r="I4" i="4"/>
  <c r="I29" i="4" s="1"/>
  <c r="I5" i="4"/>
  <c r="I30" i="4" s="1"/>
  <c r="I6" i="4"/>
  <c r="I31" i="4" s="1"/>
  <c r="E11" i="4"/>
  <c r="E36" i="4" s="1"/>
  <c r="I7" i="4"/>
  <c r="I32" i="4" s="1"/>
  <c r="C2" i="4"/>
  <c r="C3" i="4"/>
  <c r="G4" i="4"/>
  <c r="G29" i="4" s="1"/>
  <c r="G8" i="4"/>
  <c r="G33" i="4" s="1"/>
  <c r="E10" i="4"/>
  <c r="E35" i="4" s="1"/>
  <c r="H8" i="4"/>
  <c r="B5" i="4"/>
  <c r="I10" i="4"/>
  <c r="I35" i="4" s="1"/>
  <c r="F6" i="4"/>
  <c r="F8" i="4"/>
  <c r="F33" i="4" s="1"/>
  <c r="J10" i="4"/>
  <c r="J2" i="4"/>
  <c r="J27" i="4" s="1"/>
  <c r="B4" i="4"/>
  <c r="J5" i="4"/>
  <c r="J30" i="4" s="1"/>
  <c r="E398" i="2"/>
  <c r="E2" i="4"/>
  <c r="E27" i="4" s="1"/>
  <c r="K10" i="4"/>
  <c r="K35" i="4" s="1"/>
  <c r="E4" i="4"/>
  <c r="E29" i="4" s="1"/>
  <c r="I11" i="4"/>
  <c r="I36" i="4" s="1"/>
  <c r="C10" i="4"/>
  <c r="C35" i="4" s="1"/>
  <c r="G398" i="2"/>
  <c r="C5" i="4"/>
  <c r="C30" i="4" s="1"/>
  <c r="E3" i="4"/>
  <c r="E28" i="4" s="1"/>
  <c r="C7" i="4"/>
  <c r="C32" i="4" s="1"/>
  <c r="K399" i="2"/>
  <c r="K506" i="2" s="1"/>
  <c r="C398" i="2"/>
  <c r="D398" i="3"/>
  <c r="F3" i="4"/>
  <c r="F28" i="4" s="1"/>
  <c r="H11" i="4"/>
  <c r="H36" i="4" s="1"/>
  <c r="B3" i="4"/>
  <c r="F5" i="4"/>
  <c r="F30" i="4" s="1"/>
  <c r="E7" i="4"/>
  <c r="E32" i="4" s="1"/>
  <c r="I8" i="4"/>
  <c r="I33" i="4" s="1"/>
  <c r="J11" i="4"/>
  <c r="J36" i="4" s="1"/>
  <c r="E8" i="4"/>
  <c r="E33" i="4" s="1"/>
  <c r="B7" i="4"/>
  <c r="K4" i="4"/>
  <c r="K29" i="4" s="1"/>
  <c r="H5" i="4"/>
  <c r="H30" i="4" s="1"/>
  <c r="G5" i="4"/>
  <c r="G30" i="4" s="1"/>
  <c r="H10" i="4"/>
  <c r="H35" i="4" s="1"/>
  <c r="B6" i="4"/>
  <c r="G6" i="4"/>
  <c r="G31" i="4" s="1"/>
  <c r="D398" i="2"/>
  <c r="F2" i="4"/>
  <c r="F27" i="4" s="1"/>
  <c r="F4" i="4"/>
  <c r="F29" i="4" s="1"/>
  <c r="F7" i="4"/>
  <c r="F32" i="4" s="1"/>
  <c r="G10" i="4"/>
  <c r="G35" i="4" s="1"/>
  <c r="G11" i="4"/>
  <c r="G36" i="4" s="1"/>
  <c r="H4" i="4"/>
  <c r="H29" i="4" s="1"/>
  <c r="B398" i="2"/>
  <c r="F10" i="4"/>
  <c r="F35" i="4" s="1"/>
  <c r="F11" i="4"/>
  <c r="F36" i="4" s="1"/>
  <c r="B8" i="4"/>
  <c r="D2" i="4"/>
  <c r="D3" i="4"/>
  <c r="D28" i="4" s="1"/>
  <c r="D4" i="4"/>
  <c r="D5" i="4"/>
  <c r="D30" i="4" s="1"/>
  <c r="D6" i="4"/>
  <c r="D31" i="4" s="1"/>
  <c r="D8" i="4"/>
  <c r="D33" i="4" s="1"/>
  <c r="B10" i="4"/>
  <c r="D10" i="4"/>
  <c r="D35" i="4" s="1"/>
  <c r="D11" i="4"/>
  <c r="D36" i="4" s="1"/>
  <c r="C4" i="4"/>
  <c r="C29" i="4" s="1"/>
  <c r="J8" i="4"/>
  <c r="J33" i="4" s="1"/>
  <c r="K2" i="4"/>
  <c r="K27" i="4" s="1"/>
  <c r="J4" i="4"/>
  <c r="J29" i="4" s="1"/>
  <c r="J6" i="4"/>
  <c r="J31" i="4" s="1"/>
  <c r="K9" i="4"/>
  <c r="K34" i="4" s="1"/>
  <c r="I2" i="4"/>
  <c r="I27" i="4" s="1"/>
  <c r="J9" i="4"/>
  <c r="J34" i="4" s="1"/>
  <c r="K587" i="2"/>
  <c r="H9" i="4"/>
  <c r="H34" i="4" s="1"/>
  <c r="G9" i="4"/>
  <c r="G34" i="4" s="1"/>
  <c r="F9" i="4"/>
  <c r="F34" i="4" s="1"/>
  <c r="I398" i="2"/>
  <c r="K699" i="2"/>
  <c r="C9" i="4"/>
  <c r="C34" i="4" s="1"/>
  <c r="E9" i="4"/>
  <c r="E34" i="4" s="1"/>
  <c r="B9" i="4"/>
  <c r="D9" i="4"/>
  <c r="D34" i="4" s="1"/>
  <c r="J398" i="2"/>
  <c r="J399" i="2"/>
  <c r="G773" i="2"/>
  <c r="G757" i="2"/>
  <c r="G701" i="2"/>
  <c r="G785" i="2"/>
  <c r="H399" i="2"/>
  <c r="H662" i="2" s="1"/>
  <c r="H398" i="2"/>
  <c r="F398" i="2"/>
  <c r="G801" i="2"/>
  <c r="G765" i="2"/>
  <c r="K469" i="2"/>
  <c r="K554" i="2"/>
  <c r="K670" i="2"/>
  <c r="K492" i="2"/>
  <c r="K571" i="2"/>
  <c r="K581" i="2"/>
  <c r="K578" i="2"/>
  <c r="K694" i="2"/>
  <c r="K497" i="2"/>
  <c r="K521" i="2"/>
  <c r="K765" i="2"/>
  <c r="K565" i="2"/>
  <c r="K620" i="2"/>
  <c r="K625" i="2"/>
  <c r="K507" i="2"/>
  <c r="K798" i="2"/>
  <c r="K716" i="2"/>
  <c r="K508" i="2"/>
  <c r="K411" i="2"/>
  <c r="K775" i="2"/>
  <c r="K773" i="2"/>
  <c r="K796" i="2"/>
  <c r="G797" i="2"/>
  <c r="G674" i="2"/>
  <c r="G676" i="2"/>
  <c r="G552" i="2"/>
  <c r="G620" i="2"/>
  <c r="G718" i="2"/>
  <c r="G720" i="2"/>
  <c r="G711" i="2"/>
  <c r="G722" i="2"/>
  <c r="G767" i="2"/>
  <c r="G445" i="2"/>
  <c r="G457" i="2"/>
  <c r="G596" i="2"/>
  <c r="G712" i="2"/>
  <c r="G723" i="2"/>
  <c r="G694" i="2"/>
  <c r="G726" i="2"/>
  <c r="G795" i="2"/>
  <c r="G744" i="2"/>
  <c r="G669" i="2"/>
  <c r="G675" i="2"/>
  <c r="G771" i="2"/>
  <c r="G792" i="2"/>
  <c r="G703" i="2"/>
  <c r="G710" i="2"/>
  <c r="G632" i="2"/>
  <c r="G665" i="2"/>
  <c r="G774" i="2"/>
  <c r="G778" i="2"/>
  <c r="G708" i="2"/>
  <c r="G715" i="2"/>
  <c r="G787" i="2"/>
  <c r="G412" i="2"/>
  <c r="G725" i="2"/>
  <c r="G770" i="2"/>
  <c r="G685" i="2"/>
  <c r="I399" i="2"/>
  <c r="I547" i="2" s="1"/>
  <c r="K755" i="2"/>
  <c r="K727" i="2"/>
  <c r="G689" i="2"/>
  <c r="K398" i="2"/>
  <c r="B399" i="2"/>
  <c r="B666" i="2" s="1"/>
  <c r="F399" i="2"/>
  <c r="F537" i="2" s="1"/>
  <c r="E399" i="2"/>
  <c r="E742" i="2" s="1"/>
  <c r="C399" i="2"/>
  <c r="C442" i="2" s="1"/>
  <c r="D399" i="2"/>
  <c r="D441" i="2" s="1"/>
  <c r="G517" i="2"/>
  <c r="G526" i="2"/>
  <c r="G567" i="2"/>
  <c r="G570" i="2"/>
  <c r="G586" i="2"/>
  <c r="G606" i="2"/>
  <c r="G617" i="2"/>
  <c r="G639" i="2"/>
  <c r="G476" i="2"/>
  <c r="G486" i="2"/>
  <c r="G508" i="2"/>
  <c r="G547" i="2"/>
  <c r="G553" i="2"/>
  <c r="G575" i="2"/>
  <c r="G625" i="2"/>
  <c r="G633" i="2"/>
  <c r="G647" i="2"/>
  <c r="G446" i="2"/>
  <c r="G468" i="2"/>
  <c r="G478" i="2"/>
  <c r="G499" i="2"/>
  <c r="G512" i="2"/>
  <c r="G523" i="2"/>
  <c r="G530" i="2"/>
  <c r="G532" i="2"/>
  <c r="G558" i="2"/>
  <c r="G561" i="2"/>
  <c r="G572" i="2"/>
  <c r="G580" i="2"/>
  <c r="G594" i="2"/>
  <c r="G602" i="2"/>
  <c r="G622" i="2"/>
  <c r="G630" i="2"/>
  <c r="G644" i="2"/>
  <c r="G655" i="2"/>
  <c r="G663" i="2"/>
  <c r="G464" i="2"/>
  <c r="G482" i="2"/>
  <c r="G501" i="2"/>
  <c r="G503" i="2"/>
  <c r="G525" i="2"/>
  <c r="G541" i="2"/>
  <c r="G549" i="2"/>
  <c r="G555" i="2"/>
  <c r="G566" i="2"/>
  <c r="G577" i="2"/>
  <c r="G585" i="2"/>
  <c r="G588" i="2"/>
  <c r="G591" i="2"/>
  <c r="G599" i="2"/>
  <c r="G605" i="2"/>
  <c r="G616" i="2"/>
  <c r="G627" i="2"/>
  <c r="G638" i="2"/>
  <c r="G641" i="2"/>
  <c r="G649" i="2"/>
  <c r="G652" i="2"/>
  <c r="G660" i="2"/>
  <c r="G432" i="2"/>
  <c r="G450" i="2"/>
  <c r="G467" i="2"/>
  <c r="G475" i="2"/>
  <c r="G477" i="2"/>
  <c r="G485" i="2"/>
  <c r="G487" i="2"/>
  <c r="G507" i="2"/>
  <c r="G509" i="2"/>
  <c r="G520" i="2"/>
  <c r="G522" i="2"/>
  <c r="G529" i="2"/>
  <c r="G538" i="2"/>
  <c r="G543" i="2"/>
  <c r="G557" i="2"/>
  <c r="G560" i="2"/>
  <c r="G568" i="2"/>
  <c r="G571" i="2"/>
  <c r="G579" i="2"/>
  <c r="G590" i="2"/>
  <c r="G593" i="2"/>
  <c r="G601" i="2"/>
  <c r="G604" i="2"/>
  <c r="G607" i="2"/>
  <c r="G618" i="2"/>
  <c r="G621" i="2"/>
  <c r="G629" i="2"/>
  <c r="G640" i="2"/>
  <c r="G643" i="2"/>
  <c r="G654" i="2"/>
  <c r="G662" i="2"/>
  <c r="G423" i="2"/>
  <c r="G439" i="2"/>
  <c r="G469" i="2"/>
  <c r="G471" i="2"/>
  <c r="G479" i="2"/>
  <c r="G481" i="2"/>
  <c r="G489" i="2"/>
  <c r="G491" i="2"/>
  <c r="G498" i="2"/>
  <c r="G500" i="2"/>
  <c r="G511" i="2"/>
  <c r="G513" i="2"/>
  <c r="G531" i="2"/>
  <c r="G540" i="2"/>
  <c r="G548" i="2"/>
  <c r="G554" i="2"/>
  <c r="G565" i="2"/>
  <c r="G576" i="2"/>
  <c r="G584" i="2"/>
  <c r="G587" i="2"/>
  <c r="G598" i="2"/>
  <c r="G615" i="2"/>
  <c r="G626" i="2"/>
  <c r="G634" i="2"/>
  <c r="G637" i="2"/>
  <c r="G648" i="2"/>
  <c r="G651" i="2"/>
  <c r="G659" i="2"/>
  <c r="G609" i="2"/>
  <c r="G441" i="2"/>
  <c r="G563" i="2"/>
  <c r="G496" i="2"/>
  <c r="G463" i="2"/>
  <c r="G613" i="2"/>
  <c r="G574" i="2"/>
  <c r="G551" i="2"/>
  <c r="G505" i="2"/>
  <c r="G459" i="2"/>
  <c r="G546" i="2"/>
  <c r="G534" i="2"/>
  <c r="G502" i="2"/>
  <c r="K477" i="2"/>
  <c r="K455" i="2"/>
  <c r="K452" i="2"/>
  <c r="K438" i="2"/>
  <c r="K458" i="2"/>
  <c r="K437" i="2"/>
  <c r="K433" i="2"/>
  <c r="F508" i="2"/>
  <c r="F708" i="2"/>
  <c r="F556" i="2"/>
  <c r="F725" i="2"/>
  <c r="H765" i="2"/>
  <c r="H629" i="2"/>
  <c r="H708" i="2"/>
  <c r="H557" i="2"/>
  <c r="F781" i="2"/>
  <c r="G454" i="2"/>
  <c r="G449" i="2"/>
  <c r="G444" i="2"/>
  <c r="K442" i="2"/>
  <c r="G440" i="2"/>
  <c r="J646" i="2"/>
  <c r="J762" i="2"/>
  <c r="J763" i="2"/>
  <c r="J446" i="2"/>
  <c r="J518" i="2"/>
  <c r="J528" i="2"/>
  <c r="J471" i="2"/>
  <c r="J481" i="2"/>
  <c r="J581" i="2"/>
  <c r="J452" i="2"/>
  <c r="J488" i="2"/>
  <c r="J562" i="2"/>
  <c r="J515" i="2"/>
  <c r="J617" i="2"/>
  <c r="J658" i="2"/>
  <c r="J432" i="2"/>
  <c r="J440" i="2"/>
  <c r="J657" i="2"/>
  <c r="G470" i="2"/>
  <c r="G462" i="2"/>
  <c r="G461" i="2"/>
  <c r="G460" i="2"/>
  <c r="G452" i="2"/>
  <c r="F451" i="2"/>
  <c r="K446" i="2"/>
  <c r="G442" i="2"/>
  <c r="G434" i="2"/>
  <c r="K418" i="2"/>
  <c r="G417" i="2"/>
  <c r="G453" i="2"/>
  <c r="H445" i="2"/>
  <c r="G443" i="2"/>
  <c r="G435" i="2"/>
  <c r="G425" i="2"/>
  <c r="G436" i="2"/>
  <c r="F435" i="2"/>
  <c r="G426" i="2"/>
  <c r="G418" i="2"/>
  <c r="G483" i="2"/>
  <c r="G473" i="2"/>
  <c r="G465" i="2"/>
  <c r="G455" i="2"/>
  <c r="G447" i="2"/>
  <c r="K439" i="2"/>
  <c r="G437" i="2"/>
  <c r="H429" i="2"/>
  <c r="G427" i="2"/>
  <c r="G419" i="2"/>
  <c r="G484" i="2"/>
  <c r="G474" i="2"/>
  <c r="G466" i="2"/>
  <c r="G456" i="2"/>
  <c r="G448" i="2"/>
  <c r="G438" i="2"/>
  <c r="G430" i="2"/>
  <c r="G429" i="2"/>
  <c r="G428" i="2"/>
  <c r="G422" i="2"/>
  <c r="G420" i="2"/>
  <c r="H424" i="2"/>
  <c r="H432" i="2"/>
  <c r="H552" i="2"/>
  <c r="H560" i="2"/>
  <c r="H696" i="2"/>
  <c r="H720" i="2"/>
  <c r="H513" i="2"/>
  <c r="H537" i="2"/>
  <c r="H641" i="2"/>
  <c r="H665" i="2"/>
  <c r="H522" i="2"/>
  <c r="H530" i="2"/>
  <c r="H650" i="2"/>
  <c r="H658" i="2"/>
  <c r="H483" i="2"/>
  <c r="H491" i="2"/>
  <c r="H627" i="2"/>
  <c r="H635" i="2"/>
  <c r="H428" i="2"/>
  <c r="H436" i="2"/>
  <c r="H556" i="2"/>
  <c r="H564" i="2"/>
  <c r="H439" i="2"/>
  <c r="H455" i="2"/>
  <c r="H567" i="2"/>
  <c r="H583" i="2"/>
  <c r="H454" i="2"/>
  <c r="I559" i="2"/>
  <c r="H533" i="2"/>
  <c r="H517" i="2"/>
  <c r="H631" i="2"/>
  <c r="H621" i="2"/>
  <c r="H430" i="2"/>
  <c r="K420" i="2"/>
  <c r="K417" i="2"/>
  <c r="K423" i="2"/>
  <c r="H581" i="2" l="1"/>
  <c r="H668" i="2"/>
  <c r="H443" i="2"/>
  <c r="H656" i="2"/>
  <c r="H623" i="2"/>
  <c r="H535" i="2"/>
  <c r="H739" i="2"/>
  <c r="H610" i="2"/>
  <c r="H497" i="2"/>
  <c r="H645" i="2"/>
  <c r="H534" i="2"/>
  <c r="H524" i="2"/>
  <c r="H435" i="2"/>
  <c r="H632" i="2"/>
  <c r="H478" i="2"/>
  <c r="H518" i="2"/>
  <c r="H540" i="2"/>
  <c r="H571" i="2"/>
  <c r="H466" i="2"/>
  <c r="H625" i="2"/>
  <c r="H528" i="2"/>
  <c r="H661" i="2"/>
  <c r="K416" i="2"/>
  <c r="H613" i="2"/>
  <c r="H628" i="2"/>
  <c r="H427" i="2"/>
  <c r="H601" i="2"/>
  <c r="H624" i="2"/>
  <c r="H496" i="2"/>
  <c r="H717" i="2"/>
  <c r="K467" i="2"/>
  <c r="K631" i="2"/>
  <c r="K788" i="2"/>
  <c r="K529" i="2"/>
  <c r="K464" i="2"/>
  <c r="H494" i="2"/>
  <c r="H510" i="2"/>
  <c r="H677" i="2"/>
  <c r="H550" i="2"/>
  <c r="H479" i="2"/>
  <c r="H500" i="2"/>
  <c r="H683" i="2"/>
  <c r="H555" i="2"/>
  <c r="H570" i="2"/>
  <c r="H442" i="2"/>
  <c r="H441" i="2"/>
  <c r="K424" i="2"/>
  <c r="H526" i="2"/>
  <c r="H437" i="2"/>
  <c r="I611" i="2"/>
  <c r="H599" i="2"/>
  <c r="H471" i="2"/>
  <c r="H620" i="2"/>
  <c r="H476" i="2"/>
  <c r="H675" i="2"/>
  <c r="H547" i="2"/>
  <c r="H674" i="2"/>
  <c r="H546" i="2"/>
  <c r="H418" i="2"/>
  <c r="H561" i="2"/>
  <c r="H433" i="2"/>
  <c r="H616" i="2"/>
  <c r="H464" i="2"/>
  <c r="K457" i="2"/>
  <c r="H727" i="2"/>
  <c r="H693" i="2"/>
  <c r="K430" i="2"/>
  <c r="K473" i="2"/>
  <c r="K772" i="2"/>
  <c r="K748" i="2"/>
  <c r="K570" i="2"/>
  <c r="H597" i="2"/>
  <c r="H503" i="2"/>
  <c r="H652" i="2"/>
  <c r="H691" i="2"/>
  <c r="H563" i="2"/>
  <c r="H586" i="2"/>
  <c r="H458" i="2"/>
  <c r="H617" i="2"/>
  <c r="H449" i="2"/>
  <c r="H504" i="2"/>
  <c r="H743" i="2"/>
  <c r="H606" i="2"/>
  <c r="H453" i="2"/>
  <c r="H591" i="2"/>
  <c r="H463" i="2"/>
  <c r="H612" i="2"/>
  <c r="H460" i="2"/>
  <c r="H659" i="2"/>
  <c r="H531" i="2"/>
  <c r="H666" i="2"/>
  <c r="H538" i="2"/>
  <c r="H697" i="2"/>
  <c r="H553" i="2"/>
  <c r="H425" i="2"/>
  <c r="H608" i="2"/>
  <c r="H440" i="2"/>
  <c r="H422" i="2"/>
  <c r="H525" i="2"/>
  <c r="H630" i="2"/>
  <c r="H446" i="2"/>
  <c r="H653" i="2"/>
  <c r="H565" i="2"/>
  <c r="H502" i="2"/>
  <c r="H543" i="2"/>
  <c r="H676" i="2"/>
  <c r="H548" i="2"/>
  <c r="H420" i="2"/>
  <c r="H595" i="2"/>
  <c r="H467" i="2"/>
  <c r="H634" i="2"/>
  <c r="H474" i="2"/>
  <c r="H633" i="2"/>
  <c r="H505" i="2"/>
  <c r="H672" i="2"/>
  <c r="H544" i="2"/>
  <c r="H416" i="2"/>
  <c r="B22" i="10"/>
  <c r="M2" i="10"/>
  <c r="I524" i="2"/>
  <c r="I613" i="2"/>
  <c r="I473" i="2"/>
  <c r="I598" i="2"/>
  <c r="I753" i="2"/>
  <c r="I537" i="2"/>
  <c r="I737" i="2"/>
  <c r="I434" i="2"/>
  <c r="J559" i="2"/>
  <c r="J423" i="2"/>
  <c r="J415" i="2"/>
  <c r="J795" i="2"/>
  <c r="J692" i="2"/>
  <c r="J714" i="2"/>
  <c r="J507" i="2"/>
  <c r="J719" i="2"/>
  <c r="J598" i="2"/>
  <c r="J525" i="2"/>
  <c r="J560" i="2"/>
  <c r="J449" i="2"/>
  <c r="J456" i="2"/>
  <c r="J419" i="2"/>
  <c r="J722" i="2"/>
  <c r="J527" i="2"/>
  <c r="J629" i="2"/>
  <c r="J561" i="2"/>
  <c r="J778" i="2"/>
  <c r="J695" i="2"/>
  <c r="J732" i="2"/>
  <c r="J539" i="2"/>
  <c r="J538" i="2"/>
  <c r="J540" i="2"/>
  <c r="J566" i="2"/>
  <c r="J493" i="2"/>
  <c r="J454" i="2"/>
  <c r="J772" i="2"/>
  <c r="J591" i="2"/>
  <c r="J417" i="2"/>
  <c r="J685" i="2"/>
  <c r="J625" i="2"/>
  <c r="J703" i="2"/>
  <c r="I690" i="2"/>
  <c r="J700" i="2"/>
  <c r="J411" i="2"/>
  <c r="I718" i="2"/>
  <c r="J451" i="2"/>
  <c r="J711" i="2"/>
  <c r="J633" i="2"/>
  <c r="I419" i="2"/>
  <c r="J505" i="2"/>
  <c r="J666" i="2"/>
  <c r="I665" i="2"/>
  <c r="J478" i="2"/>
  <c r="J800" i="2"/>
  <c r="J681" i="2"/>
  <c r="H764" i="2"/>
  <c r="H744" i="2"/>
  <c r="H639" i="2"/>
  <c r="H702" i="2"/>
  <c r="H670" i="2"/>
  <c r="H448" i="2"/>
  <c r="H512" i="2"/>
  <c r="H576" i="2"/>
  <c r="H640" i="2"/>
  <c r="H704" i="2"/>
  <c r="H457" i="2"/>
  <c r="H521" i="2"/>
  <c r="H585" i="2"/>
  <c r="H649" i="2"/>
  <c r="H426" i="2"/>
  <c r="H490" i="2"/>
  <c r="H554" i="2"/>
  <c r="H618" i="2"/>
  <c r="H682" i="2"/>
  <c r="H451" i="2"/>
  <c r="H515" i="2"/>
  <c r="H579" i="2"/>
  <c r="H643" i="2"/>
  <c r="H707" i="2"/>
  <c r="H444" i="2"/>
  <c r="H508" i="2"/>
  <c r="H572" i="2"/>
  <c r="H636" i="2"/>
  <c r="H423" i="2"/>
  <c r="H487" i="2"/>
  <c r="H551" i="2"/>
  <c r="H486" i="2"/>
  <c r="H549" i="2"/>
  <c r="H622" i="2"/>
  <c r="H590" i="2"/>
  <c r="H462" i="2"/>
  <c r="H789" i="2"/>
  <c r="H477" i="2"/>
  <c r="H709" i="2"/>
  <c r="H456" i="2"/>
  <c r="H584" i="2"/>
  <c r="H712" i="2"/>
  <c r="H465" i="2"/>
  <c r="H593" i="2"/>
  <c r="H434" i="2"/>
  <c r="H498" i="2"/>
  <c r="H626" i="2"/>
  <c r="H690" i="2"/>
  <c r="H523" i="2"/>
  <c r="H587" i="2"/>
  <c r="H715" i="2"/>
  <c r="H516" i="2"/>
  <c r="H580" i="2"/>
  <c r="H431" i="2"/>
  <c r="H559" i="2"/>
  <c r="H470" i="2"/>
  <c r="H714" i="2"/>
  <c r="H520" i="2"/>
  <c r="H648" i="2"/>
  <c r="H529" i="2"/>
  <c r="H657" i="2"/>
  <c r="H562" i="2"/>
  <c r="H459" i="2"/>
  <c r="H651" i="2"/>
  <c r="H452" i="2"/>
  <c r="H644" i="2"/>
  <c r="H495" i="2"/>
  <c r="H598" i="2"/>
  <c r="H721" i="2"/>
  <c r="H726" i="2"/>
  <c r="H687" i="2"/>
  <c r="H461" i="2"/>
  <c r="H722" i="2"/>
  <c r="H755" i="2"/>
  <c r="H701" i="2"/>
  <c r="H745" i="2"/>
  <c r="H692" i="2"/>
  <c r="H614" i="2"/>
  <c r="H750" i="2"/>
  <c r="H472" i="2"/>
  <c r="H536" i="2"/>
  <c r="H600" i="2"/>
  <c r="H664" i="2"/>
  <c r="H417" i="2"/>
  <c r="H481" i="2"/>
  <c r="H545" i="2"/>
  <c r="H609" i="2"/>
  <c r="H673" i="2"/>
  <c r="H450" i="2"/>
  <c r="H514" i="2"/>
  <c r="H578" i="2"/>
  <c r="H642" i="2"/>
  <c r="H706" i="2"/>
  <c r="H475" i="2"/>
  <c r="H539" i="2"/>
  <c r="H603" i="2"/>
  <c r="H667" i="2"/>
  <c r="H731" i="2"/>
  <c r="H468" i="2"/>
  <c r="H532" i="2"/>
  <c r="H596" i="2"/>
  <c r="H660" i="2"/>
  <c r="H447" i="2"/>
  <c r="H511" i="2"/>
  <c r="H575" i="2"/>
  <c r="H566" i="2"/>
  <c r="H438" i="2"/>
  <c r="H646" i="2"/>
  <c r="H501" i="2"/>
  <c r="H655" i="2"/>
  <c r="H663" i="2"/>
  <c r="H542" i="2"/>
  <c r="I783" i="2"/>
  <c r="I504" i="2"/>
  <c r="J710" i="2"/>
  <c r="J656" i="2"/>
  <c r="H558" i="2"/>
  <c r="H678" i="2"/>
  <c r="H527" i="2"/>
  <c r="H492" i="2"/>
  <c r="H507" i="2"/>
  <c r="H602" i="2"/>
  <c r="H506" i="2"/>
  <c r="H577" i="2"/>
  <c r="H489" i="2"/>
  <c r="H688" i="2"/>
  <c r="H592" i="2"/>
  <c r="H488" i="2"/>
  <c r="J742" i="2"/>
  <c r="J684" i="2"/>
  <c r="J643" i="2"/>
  <c r="J677" i="2"/>
  <c r="J529" i="2"/>
  <c r="J603" i="2"/>
  <c r="H747" i="2"/>
  <c r="H615" i="2"/>
  <c r="I686" i="2"/>
  <c r="J773" i="2"/>
  <c r="J612" i="2"/>
  <c r="J741" i="2"/>
  <c r="J706" i="2"/>
  <c r="J771" i="2"/>
  <c r="J556" i="2"/>
  <c r="H654" i="2"/>
  <c r="H469" i="2"/>
  <c r="I440" i="2"/>
  <c r="H582" i="2"/>
  <c r="H415" i="2"/>
  <c r="H604" i="2"/>
  <c r="H723" i="2"/>
  <c r="H619" i="2"/>
  <c r="H419" i="2"/>
  <c r="H689" i="2"/>
  <c r="H574" i="2"/>
  <c r="I685" i="2"/>
  <c r="H485" i="2"/>
  <c r="I762" i="2"/>
  <c r="I623" i="2"/>
  <c r="H607" i="2"/>
  <c r="H519" i="2"/>
  <c r="H684" i="2"/>
  <c r="H588" i="2"/>
  <c r="H484" i="2"/>
  <c r="H699" i="2"/>
  <c r="H611" i="2"/>
  <c r="H499" i="2"/>
  <c r="H698" i="2"/>
  <c r="H594" i="2"/>
  <c r="H482" i="2"/>
  <c r="H681" i="2"/>
  <c r="H569" i="2"/>
  <c r="H473" i="2"/>
  <c r="H680" i="2"/>
  <c r="H568" i="2"/>
  <c r="H480" i="2"/>
  <c r="J683" i="2"/>
  <c r="J570" i="2"/>
  <c r="J619" i="2"/>
  <c r="J632" i="2"/>
  <c r="J473" i="2"/>
  <c r="J595" i="2"/>
  <c r="H751" i="2"/>
  <c r="H763" i="2"/>
  <c r="K784" i="2"/>
  <c r="K759" i="2"/>
  <c r="K781" i="2"/>
  <c r="K535" i="2"/>
  <c r="K682" i="2"/>
  <c r="K551" i="2"/>
  <c r="K429" i="2"/>
  <c r="K586" i="2"/>
  <c r="K733" i="2"/>
  <c r="K728" i="2"/>
  <c r="C24" i="9"/>
  <c r="D24" i="9" s="1"/>
  <c r="E24" i="9" s="1"/>
  <c r="J701" i="2"/>
  <c r="J578" i="2"/>
  <c r="J650" i="2"/>
  <c r="J524" i="2"/>
  <c r="J687" i="2"/>
  <c r="J590" i="2"/>
  <c r="J442" i="2"/>
  <c r="J718" i="2"/>
  <c r="J609" i="2"/>
  <c r="J499" i="2"/>
  <c r="J799" i="2"/>
  <c r="J689" i="2"/>
  <c r="J482" i="2"/>
  <c r="J691" i="2"/>
  <c r="J501" i="2"/>
  <c r="J791" i="2"/>
  <c r="J602" i="2"/>
  <c r="J697" i="2"/>
  <c r="J756" i="2"/>
  <c r="J457" i="2"/>
  <c r="J513" i="2"/>
  <c r="J567" i="2"/>
  <c r="J614" i="2"/>
  <c r="J668" i="2"/>
  <c r="J430" i="2"/>
  <c r="J502" i="2"/>
  <c r="J576" i="2"/>
  <c r="J647" i="2"/>
  <c r="J759" i="2"/>
  <c r="J792" i="2"/>
  <c r="J427" i="2"/>
  <c r="J483" i="2"/>
  <c r="J537" i="2"/>
  <c r="J593" i="2"/>
  <c r="J678" i="2"/>
  <c r="J715" i="2"/>
  <c r="J418" i="2"/>
  <c r="J490" i="2"/>
  <c r="J564" i="2"/>
  <c r="J644" i="2"/>
  <c r="J716" i="2"/>
  <c r="J768" i="2"/>
  <c r="J801" i="2"/>
  <c r="J445" i="2"/>
  <c r="J508" i="2"/>
  <c r="J571" i="2"/>
  <c r="J627" i="2"/>
  <c r="J707" i="2"/>
  <c r="J729" i="2"/>
  <c r="J737" i="2"/>
  <c r="J462" i="2"/>
  <c r="J534" i="2"/>
  <c r="J608" i="2"/>
  <c r="J660" i="2"/>
  <c r="J424" i="2"/>
  <c r="J479" i="2"/>
  <c r="J533" i="2"/>
  <c r="J589" i="2"/>
  <c r="J661" i="2"/>
  <c r="J745" i="2"/>
  <c r="J542" i="2"/>
  <c r="J624" i="2"/>
  <c r="J699" i="2"/>
  <c r="J673" i="2"/>
  <c r="J752" i="2"/>
  <c r="J467" i="2"/>
  <c r="J521" i="2"/>
  <c r="J577" i="2"/>
  <c r="J615" i="2"/>
  <c r="J669" i="2"/>
  <c r="J438" i="2"/>
  <c r="J512" i="2"/>
  <c r="J584" i="2"/>
  <c r="J655" i="2"/>
  <c r="J760" i="2"/>
  <c r="J793" i="2"/>
  <c r="J428" i="2"/>
  <c r="J491" i="2"/>
  <c r="J547" i="2"/>
  <c r="J601" i="2"/>
  <c r="J679" i="2"/>
  <c r="J723" i="2"/>
  <c r="J426" i="2"/>
  <c r="J500" i="2"/>
  <c r="J574" i="2"/>
  <c r="J653" i="2"/>
  <c r="J720" i="2"/>
  <c r="J769" i="2"/>
  <c r="J409" i="2"/>
  <c r="J453" i="2"/>
  <c r="J509" i="2"/>
  <c r="J572" i="2"/>
  <c r="J628" i="2"/>
  <c r="J708" i="2"/>
  <c r="J730" i="2"/>
  <c r="J738" i="2"/>
  <c r="J470" i="2"/>
  <c r="J544" i="2"/>
  <c r="J618" i="2"/>
  <c r="J663" i="2"/>
  <c r="J433" i="2"/>
  <c r="J487" i="2"/>
  <c r="J543" i="2"/>
  <c r="J597" i="2"/>
  <c r="J662" i="2"/>
  <c r="J744" i="2"/>
  <c r="J780" i="2"/>
  <c r="J606" i="2"/>
  <c r="J698" i="2"/>
  <c r="J637" i="2"/>
  <c r="J770" i="2"/>
  <c r="J731" i="2"/>
  <c r="J480" i="2"/>
  <c r="J552" i="2"/>
  <c r="J675" i="2"/>
  <c r="J441" i="2"/>
  <c r="J551" i="2"/>
  <c r="J607" i="2"/>
  <c r="J674" i="2"/>
  <c r="J779" i="2"/>
  <c r="J616" i="2"/>
  <c r="J468" i="2"/>
  <c r="J788" i="2"/>
  <c r="J475" i="2"/>
  <c r="J531" i="2"/>
  <c r="J585" i="2"/>
  <c r="J623" i="2"/>
  <c r="J672" i="2"/>
  <c r="J448" i="2"/>
  <c r="J520" i="2"/>
  <c r="J594" i="2"/>
  <c r="J667" i="2"/>
  <c r="J761" i="2"/>
  <c r="J794" i="2"/>
  <c r="J429" i="2"/>
  <c r="J492" i="2"/>
  <c r="J555" i="2"/>
  <c r="J611" i="2"/>
  <c r="J690" i="2"/>
  <c r="J724" i="2"/>
  <c r="J436" i="2"/>
  <c r="J510" i="2"/>
  <c r="J582" i="2"/>
  <c r="J665" i="2"/>
  <c r="J721" i="2"/>
  <c r="J410" i="2"/>
  <c r="J463" i="2"/>
  <c r="J517" i="2"/>
  <c r="J573" i="2"/>
  <c r="J631" i="2"/>
  <c r="J709" i="2"/>
  <c r="J740" i="2"/>
  <c r="J626" i="2"/>
  <c r="J497" i="2"/>
  <c r="J743" i="2"/>
  <c r="J636" i="2"/>
  <c r="J431" i="2"/>
  <c r="J485" i="2"/>
  <c r="J541" i="2"/>
  <c r="J604" i="2"/>
  <c r="J639" i="2"/>
  <c r="J757" i="2"/>
  <c r="J474" i="2"/>
  <c r="J548" i="2"/>
  <c r="J622" i="2"/>
  <c r="J680" i="2"/>
  <c r="J764" i="2"/>
  <c r="J420" i="2"/>
  <c r="J455" i="2"/>
  <c r="J511" i="2"/>
  <c r="J565" i="2"/>
  <c r="J645" i="2"/>
  <c r="J693" i="2"/>
  <c r="J727" i="2"/>
  <c r="J464" i="2"/>
  <c r="J536" i="2"/>
  <c r="J610" i="2"/>
  <c r="J712" i="2"/>
  <c r="J739" i="2"/>
  <c r="J798" i="2"/>
  <c r="J435" i="2"/>
  <c r="J489" i="2"/>
  <c r="J545" i="2"/>
  <c r="J599" i="2"/>
  <c r="J664" i="2"/>
  <c r="J717" i="2"/>
  <c r="J734" i="2"/>
  <c r="J434" i="2"/>
  <c r="J506" i="2"/>
  <c r="J580" i="2"/>
  <c r="J642" i="2"/>
  <c r="J686" i="2"/>
  <c r="J460" i="2"/>
  <c r="J523" i="2"/>
  <c r="J579" i="2"/>
  <c r="J641" i="2"/>
  <c r="J748" i="2"/>
  <c r="J596" i="2"/>
  <c r="J776" i="2"/>
  <c r="J702" i="2"/>
  <c r="J705" i="2"/>
  <c r="J486" i="2"/>
  <c r="J439" i="2"/>
  <c r="J495" i="2"/>
  <c r="J549" i="2"/>
  <c r="J605" i="2"/>
  <c r="J648" i="2"/>
  <c r="J789" i="2"/>
  <c r="J484" i="2"/>
  <c r="J558" i="2"/>
  <c r="J634" i="2"/>
  <c r="J696" i="2"/>
  <c r="J790" i="2"/>
  <c r="J421" i="2"/>
  <c r="J465" i="2"/>
  <c r="J519" i="2"/>
  <c r="J575" i="2"/>
  <c r="J654" i="2"/>
  <c r="J694" i="2"/>
  <c r="J765" i="2"/>
  <c r="J472" i="2"/>
  <c r="J546" i="2"/>
  <c r="J620" i="2"/>
  <c r="J713" i="2"/>
  <c r="J774" i="2"/>
  <c r="J588" i="2"/>
  <c r="J526" i="2"/>
  <c r="J688" i="2"/>
  <c r="J767" i="2"/>
  <c r="J797" i="2"/>
  <c r="J621" i="2"/>
  <c r="J758" i="2"/>
  <c r="J530" i="2"/>
  <c r="J638" i="2"/>
  <c r="J503" i="2"/>
  <c r="J640" i="2"/>
  <c r="M22" i="10"/>
  <c r="J682" i="2"/>
  <c r="J746" i="2"/>
  <c r="J469" i="2"/>
  <c r="J659" i="2"/>
  <c r="J736" i="2"/>
  <c r="J563" i="2"/>
  <c r="J444" i="2"/>
  <c r="J600" i="2"/>
  <c r="J447" i="2"/>
  <c r="J704" i="2"/>
  <c r="J775" i="2"/>
  <c r="J747" i="2"/>
  <c r="J587" i="2"/>
  <c r="J461" i="2"/>
  <c r="J651" i="2"/>
  <c r="J516" i="2"/>
  <c r="J735" i="2"/>
  <c r="J676" i="2"/>
  <c r="J553" i="2"/>
  <c r="J443" i="2"/>
  <c r="J766" i="2"/>
  <c r="J592" i="2"/>
  <c r="J726" i="2"/>
  <c r="J583" i="2"/>
  <c r="J437" i="2"/>
  <c r="J671" i="2"/>
  <c r="J494" i="2"/>
  <c r="J635" i="2"/>
  <c r="J477" i="2"/>
  <c r="F786" i="2"/>
  <c r="F462" i="2"/>
  <c r="F738" i="2"/>
  <c r="F640" i="2"/>
  <c r="F646" i="2"/>
  <c r="F694" i="2"/>
  <c r="F576" i="2"/>
  <c r="F492" i="2"/>
  <c r="F766" i="2"/>
  <c r="F647" i="2"/>
  <c r="F437" i="2"/>
  <c r="F530" i="2"/>
  <c r="F799" i="2"/>
  <c r="J568" i="2"/>
  <c r="J796" i="2"/>
  <c r="J777" i="2"/>
  <c r="J416" i="2"/>
  <c r="J569" i="2"/>
  <c r="J459" i="2"/>
  <c r="J630" i="2"/>
  <c r="J498" i="2"/>
  <c r="J733" i="2"/>
  <c r="J652" i="2"/>
  <c r="J535" i="2"/>
  <c r="J425" i="2"/>
  <c r="J728" i="2"/>
  <c r="J554" i="2"/>
  <c r="J725" i="2"/>
  <c r="J557" i="2"/>
  <c r="J422" i="2"/>
  <c r="J670" i="2"/>
  <c r="J466" i="2"/>
  <c r="J613" i="2"/>
  <c r="J476" i="2"/>
  <c r="I483" i="2"/>
  <c r="I601" i="2"/>
  <c r="I687" i="2"/>
  <c r="I485" i="2"/>
  <c r="I420" i="2"/>
  <c r="H760" i="2"/>
  <c r="H746" i="2"/>
  <c r="H732" i="2"/>
  <c r="H638" i="2"/>
  <c r="I717" i="2"/>
  <c r="M9" i="10"/>
  <c r="M10" i="10"/>
  <c r="I752" i="2"/>
  <c r="I534" i="2"/>
  <c r="I626" i="2"/>
  <c r="I696" i="2"/>
  <c r="I495" i="2"/>
  <c r="I712" i="2"/>
  <c r="I622" i="2"/>
  <c r="I470" i="2"/>
  <c r="I562" i="2"/>
  <c r="I632" i="2"/>
  <c r="I431" i="2"/>
  <c r="I736" i="2"/>
  <c r="D597" i="2"/>
  <c r="D632" i="2"/>
  <c r="I675" i="2"/>
  <c r="I498" i="2"/>
  <c r="I568" i="2"/>
  <c r="I549" i="2"/>
  <c r="I410" i="2"/>
  <c r="M5" i="10"/>
  <c r="E437" i="2"/>
  <c r="E766" i="2"/>
  <c r="E656" i="2"/>
  <c r="B46" i="9"/>
  <c r="C15" i="7"/>
  <c r="B17" i="9"/>
  <c r="C28" i="4"/>
  <c r="C17" i="7"/>
  <c r="B48" i="9"/>
  <c r="B19" i="9"/>
  <c r="E30" i="4"/>
  <c r="K633" i="2"/>
  <c r="K779" i="2"/>
  <c r="K687" i="2"/>
  <c r="K489" i="2"/>
  <c r="K561" i="2"/>
  <c r="K634" i="2"/>
  <c r="K434" i="2"/>
  <c r="K540" i="2"/>
  <c r="K602" i="2"/>
  <c r="K425" i="2"/>
  <c r="K519" i="2"/>
  <c r="K597" i="2"/>
  <c r="K476" i="2"/>
  <c r="K537" i="2"/>
  <c r="K601" i="2"/>
  <c r="K712" i="2"/>
  <c r="K552" i="2"/>
  <c r="K676" i="2"/>
  <c r="K738" i="2"/>
  <c r="K485" i="2"/>
  <c r="K595" i="2"/>
  <c r="K700" i="2"/>
  <c r="K463" i="2"/>
  <c r="K566" i="2"/>
  <c r="K474" i="2"/>
  <c r="K573" i="2"/>
  <c r="K745" i="2"/>
  <c r="K653" i="2"/>
  <c r="K797" i="2"/>
  <c r="K645" i="2"/>
  <c r="K721" i="2"/>
  <c r="K617" i="2"/>
  <c r="K523" i="2"/>
  <c r="K776" i="2"/>
  <c r="K696" i="2"/>
  <c r="K525" i="2"/>
  <c r="K756" i="2"/>
  <c r="K678" i="2"/>
  <c r="K782" i="2"/>
  <c r="K671" i="2"/>
  <c r="K715" i="2"/>
  <c r="K751" i="2"/>
  <c r="K651" i="2"/>
  <c r="K619" i="2"/>
  <c r="K799" i="2"/>
  <c r="K767" i="2"/>
  <c r="K771" i="2"/>
  <c r="K667" i="2"/>
  <c r="K493" i="2"/>
  <c r="K568" i="2"/>
  <c r="K649" i="2"/>
  <c r="K468" i="2"/>
  <c r="K544" i="2"/>
  <c r="K605" i="2"/>
  <c r="K445" i="2"/>
  <c r="K538" i="2"/>
  <c r="K607" i="2"/>
  <c r="K491" i="2"/>
  <c r="K542" i="2"/>
  <c r="K626" i="2"/>
  <c r="K714" i="2"/>
  <c r="K563" i="2"/>
  <c r="K686" i="2"/>
  <c r="K740" i="2"/>
  <c r="K504" i="2"/>
  <c r="K608" i="2"/>
  <c r="K702" i="2"/>
  <c r="K486" i="2"/>
  <c r="K577" i="2"/>
  <c r="K494" i="2"/>
  <c r="K580" i="2"/>
  <c r="K750" i="2"/>
  <c r="K661" i="2"/>
  <c r="K408" i="2"/>
  <c r="K654" i="2"/>
  <c r="K427" i="2"/>
  <c r="K629" i="2"/>
  <c r="K585" i="2"/>
  <c r="K768" i="2"/>
  <c r="K717" i="2"/>
  <c r="K665" i="2"/>
  <c r="K448" i="2"/>
  <c r="K701" i="2"/>
  <c r="K790" i="2"/>
  <c r="K692" i="2"/>
  <c r="K679" i="2"/>
  <c r="K711" i="2"/>
  <c r="K647" i="2"/>
  <c r="K615" i="2"/>
  <c r="K539" i="2"/>
  <c r="K623" i="2"/>
  <c r="K526" i="2"/>
  <c r="K763" i="2"/>
  <c r="K795" i="2"/>
  <c r="K422" i="2"/>
  <c r="K534" i="2"/>
  <c r="K572" i="2"/>
  <c r="K652" i="2"/>
  <c r="K472" i="2"/>
  <c r="K553" i="2"/>
  <c r="K609" i="2"/>
  <c r="K460" i="2"/>
  <c r="K543" i="2"/>
  <c r="K632" i="2"/>
  <c r="K505" i="2"/>
  <c r="K547" i="2"/>
  <c r="K638" i="2"/>
  <c r="K736" i="2"/>
  <c r="K576" i="2"/>
  <c r="K704" i="2"/>
  <c r="K742" i="2"/>
  <c r="K510" i="2"/>
  <c r="K613" i="2"/>
  <c r="K720" i="2"/>
  <c r="K498" i="2"/>
  <c r="K584" i="2"/>
  <c r="K500" i="2"/>
  <c r="K610" i="2"/>
  <c r="K754" i="2"/>
  <c r="K673" i="2"/>
  <c r="K461" i="2"/>
  <c r="K674" i="2"/>
  <c r="K453" i="2"/>
  <c r="K637" i="2"/>
  <c r="K656" i="2"/>
  <c r="K501" i="2"/>
  <c r="K764" i="2"/>
  <c r="K697" i="2"/>
  <c r="K465" i="2"/>
  <c r="K770" i="2"/>
  <c r="K780" i="2"/>
  <c r="K731" i="2"/>
  <c r="K703" i="2"/>
  <c r="K739" i="2"/>
  <c r="K643" i="2"/>
  <c r="K599" i="2"/>
  <c r="K672" i="2"/>
  <c r="K791" i="2"/>
  <c r="K723" i="2"/>
  <c r="K435" i="2"/>
  <c r="K541" i="2"/>
  <c r="K592" i="2"/>
  <c r="K664" i="2"/>
  <c r="K481" i="2"/>
  <c r="K557" i="2"/>
  <c r="K618" i="2"/>
  <c r="K471" i="2"/>
  <c r="K548" i="2"/>
  <c r="K660" i="2"/>
  <c r="K509" i="2"/>
  <c r="K555" i="2"/>
  <c r="K684" i="2"/>
  <c r="K454" i="2"/>
  <c r="K582" i="2"/>
  <c r="K713" i="2"/>
  <c r="K744" i="2"/>
  <c r="K516" i="2"/>
  <c r="K630" i="2"/>
  <c r="K722" i="2"/>
  <c r="K511" i="2"/>
  <c r="K590" i="2"/>
  <c r="K512" i="2"/>
  <c r="K642" i="2"/>
  <c r="K757" i="2"/>
  <c r="K705" i="2"/>
  <c r="K562" i="2"/>
  <c r="K685" i="2"/>
  <c r="K484" i="2"/>
  <c r="K761" i="2"/>
  <c r="K675" i="2"/>
  <c r="K513" i="2"/>
  <c r="K786" i="2"/>
  <c r="K707" i="2"/>
  <c r="K480" i="2"/>
  <c r="K774" i="2"/>
  <c r="K789" i="2"/>
  <c r="K747" i="2"/>
  <c r="K743" i="2"/>
  <c r="K639" i="2"/>
  <c r="K591" i="2"/>
  <c r="K688" i="2"/>
  <c r="K719" i="2"/>
  <c r="K785" i="2"/>
  <c r="K450" i="2"/>
  <c r="K545" i="2"/>
  <c r="K606" i="2"/>
  <c r="K666" i="2"/>
  <c r="K488" i="2"/>
  <c r="K560" i="2"/>
  <c r="K621" i="2"/>
  <c r="K483" i="2"/>
  <c r="K556" i="2"/>
  <c r="K669" i="2"/>
  <c r="K514" i="2"/>
  <c r="K564" i="2"/>
  <c r="K689" i="2"/>
  <c r="K462" i="2"/>
  <c r="K589" i="2"/>
  <c r="K724" i="2"/>
  <c r="K758" i="2"/>
  <c r="K528" i="2"/>
  <c r="K646" i="2"/>
  <c r="K732" i="2"/>
  <c r="K517" i="2"/>
  <c r="K603" i="2"/>
  <c r="K524" i="2"/>
  <c r="K648" i="2"/>
  <c r="K766" i="2"/>
  <c r="K729" i="2"/>
  <c r="K641" i="2"/>
  <c r="K690" i="2"/>
  <c r="K496" i="2"/>
  <c r="K769" i="2"/>
  <c r="K706" i="2"/>
  <c r="K550" i="2"/>
  <c r="K792" i="2"/>
  <c r="K718" i="2"/>
  <c r="K530" i="2"/>
  <c r="K794" i="2"/>
  <c r="K793" i="2"/>
  <c r="K762" i="2"/>
  <c r="K695" i="2"/>
  <c r="K635" i="2"/>
  <c r="K575" i="2"/>
  <c r="K490" i="2"/>
  <c r="K778" i="2"/>
  <c r="K783" i="2"/>
  <c r="K691" i="2"/>
  <c r="K482" i="2"/>
  <c r="K558" i="2"/>
  <c r="K628" i="2"/>
  <c r="K693" i="2"/>
  <c r="K533" i="2"/>
  <c r="K598" i="2"/>
  <c r="K681" i="2"/>
  <c r="K515" i="2"/>
  <c r="K593" i="2"/>
  <c r="K470" i="2"/>
  <c r="K532" i="2"/>
  <c r="K596" i="2"/>
  <c r="K710" i="2"/>
  <c r="K527" i="2"/>
  <c r="K662" i="2"/>
  <c r="K734" i="2"/>
  <c r="K479" i="2"/>
  <c r="K583" i="2"/>
  <c r="K698" i="2"/>
  <c r="K760" i="2"/>
  <c r="K559" i="2"/>
  <c r="K466" i="2"/>
  <c r="K567" i="2"/>
  <c r="K741" i="2"/>
  <c r="K616" i="2"/>
  <c r="K801" i="2"/>
  <c r="K636" i="2"/>
  <c r="K753" i="2"/>
  <c r="K594" i="2"/>
  <c r="K499" i="2"/>
  <c r="K749" i="2"/>
  <c r="K611" i="2"/>
  <c r="K414" i="2"/>
  <c r="K502" i="2"/>
  <c r="K644" i="2"/>
  <c r="K777" i="2"/>
  <c r="K658" i="2"/>
  <c r="K683" i="2"/>
  <c r="K655" i="2"/>
  <c r="K627" i="2"/>
  <c r="D462" i="2"/>
  <c r="K459" i="2"/>
  <c r="D517" i="2"/>
  <c r="E452" i="2"/>
  <c r="D628" i="2"/>
  <c r="K659" i="2"/>
  <c r="K409" i="2"/>
  <c r="K574" i="2"/>
  <c r="K709" i="2"/>
  <c r="K725" i="2"/>
  <c r="K746" i="2"/>
  <c r="K726" i="2"/>
  <c r="K569" i="2"/>
  <c r="K487" i="2"/>
  <c r="K668" i="2"/>
  <c r="M4" i="10"/>
  <c r="B50" i="9"/>
  <c r="C19" i="7"/>
  <c r="B21" i="9"/>
  <c r="G32" i="4"/>
  <c r="D423" i="2"/>
  <c r="B49" i="9"/>
  <c r="C18" i="7"/>
  <c r="B20" i="9"/>
  <c r="F31" i="4"/>
  <c r="B54" i="9"/>
  <c r="C23" i="7"/>
  <c r="B25" i="9"/>
  <c r="K36" i="4"/>
  <c r="K431" i="2"/>
  <c r="K426" i="2"/>
  <c r="E446" i="2"/>
  <c r="E534" i="2"/>
  <c r="K421" i="2"/>
  <c r="E435" i="2"/>
  <c r="E480" i="2"/>
  <c r="E477" i="2"/>
  <c r="K428" i="2"/>
  <c r="K419" i="2"/>
  <c r="E460" i="2"/>
  <c r="D542" i="2"/>
  <c r="K663" i="2"/>
  <c r="K614" i="2"/>
  <c r="K737" i="2"/>
  <c r="K520" i="2"/>
  <c r="K536" i="2"/>
  <c r="K680" i="2"/>
  <c r="K650" i="2"/>
  <c r="K522" i="2"/>
  <c r="K677" i="2"/>
  <c r="K622" i="2"/>
  <c r="K787" i="2"/>
  <c r="K413" i="2"/>
  <c r="E439" i="2"/>
  <c r="E485" i="2"/>
  <c r="D511" i="2"/>
  <c r="E666" i="2"/>
  <c r="E615" i="2"/>
  <c r="K415" i="2"/>
  <c r="K432" i="2"/>
  <c r="K436" i="2"/>
  <c r="E486" i="2"/>
  <c r="E484" i="2"/>
  <c r="K444" i="2"/>
  <c r="K447" i="2"/>
  <c r="D565" i="2"/>
  <c r="K735" i="2"/>
  <c r="K579" i="2"/>
  <c r="K730" i="2"/>
  <c r="K451" i="2"/>
  <c r="K531" i="2"/>
  <c r="K657" i="2"/>
  <c r="K640" i="2"/>
  <c r="K518" i="2"/>
  <c r="K624" i="2"/>
  <c r="K612" i="2"/>
  <c r="K503" i="2"/>
  <c r="C53" i="9"/>
  <c r="B35" i="4"/>
  <c r="C51" i="9"/>
  <c r="B33" i="4"/>
  <c r="C22" i="9"/>
  <c r="E433" i="2"/>
  <c r="C18" i="9"/>
  <c r="D18" i="9" s="1"/>
  <c r="E18" i="9" s="1"/>
  <c r="M11" i="10"/>
  <c r="M6" i="10"/>
  <c r="E593" i="2"/>
  <c r="E608" i="2"/>
  <c r="E680" i="2"/>
  <c r="E622" i="2"/>
  <c r="E604" i="2"/>
  <c r="E641" i="2"/>
  <c r="E598" i="2"/>
  <c r="E612" i="2"/>
  <c r="E544" i="2"/>
  <c r="E688" i="2"/>
  <c r="E456" i="2"/>
  <c r="E505" i="2"/>
  <c r="E568" i="2"/>
  <c r="E667" i="2"/>
  <c r="D555" i="2"/>
  <c r="D622" i="2"/>
  <c r="D473" i="2"/>
  <c r="D644" i="2"/>
  <c r="D479" i="2"/>
  <c r="D532" i="2"/>
  <c r="D595" i="2"/>
  <c r="D503" i="2"/>
  <c r="D502" i="2"/>
  <c r="D525" i="2"/>
  <c r="D504" i="2"/>
  <c r="D476" i="2"/>
  <c r="D419" i="2"/>
  <c r="D10" i="8"/>
  <c r="C54" i="9"/>
  <c r="B36" i="4"/>
  <c r="C25" i="9"/>
  <c r="M7" i="10"/>
  <c r="E706" i="2"/>
  <c r="E499" i="2"/>
  <c r="E522" i="2"/>
  <c r="E483" i="2"/>
  <c r="E758" i="2"/>
  <c r="E661" i="2"/>
  <c r="E639" i="2"/>
  <c r="E756" i="2"/>
  <c r="E744" i="2"/>
  <c r="K440" i="2"/>
  <c r="K449" i="2"/>
  <c r="D418" i="2"/>
  <c r="E422" i="2"/>
  <c r="E419" i="2"/>
  <c r="K443" i="2"/>
  <c r="K441" i="2"/>
  <c r="K475" i="2"/>
  <c r="E692" i="2"/>
  <c r="E653" i="2"/>
  <c r="E760" i="2"/>
  <c r="E781" i="2"/>
  <c r="K800" i="2"/>
  <c r="K412" i="2"/>
  <c r="K546" i="2"/>
  <c r="K604" i="2"/>
  <c r="K549" i="2"/>
  <c r="K456" i="2"/>
  <c r="K708" i="2"/>
  <c r="K588" i="2"/>
  <c r="K495" i="2"/>
  <c r="K478" i="2"/>
  <c r="G2" i="9" a="1"/>
  <c r="G2" i="9" s="1"/>
  <c r="G5" i="9" s="1"/>
  <c r="M8" i="10"/>
  <c r="G514" i="2"/>
  <c r="G472" i="2"/>
  <c r="G636" i="2"/>
  <c r="G564" i="2"/>
  <c r="G506" i="2"/>
  <c r="G628" i="2"/>
  <c r="G578" i="2"/>
  <c r="G528" i="2"/>
  <c r="G415" i="2"/>
  <c r="G709" i="2"/>
  <c r="G721" i="2"/>
  <c r="G776" i="2"/>
  <c r="G719" i="2"/>
  <c r="G782" i="2"/>
  <c r="G682" i="2"/>
  <c r="G724" i="2"/>
  <c r="G677" i="2"/>
  <c r="G695" i="2"/>
  <c r="G581" i="2"/>
  <c r="G739" i="2"/>
  <c r="G731" i="2"/>
  <c r="G458" i="2"/>
  <c r="G559" i="2"/>
  <c r="G730" i="2"/>
  <c r="G624" i="2"/>
  <c r="G664" i="2"/>
  <c r="G516" i="2"/>
  <c r="G781" i="2"/>
  <c r="G753" i="2"/>
  <c r="G713" i="2"/>
  <c r="G735" i="2"/>
  <c r="C49" i="9"/>
  <c r="B31" i="4"/>
  <c r="B53" i="9"/>
  <c r="C22" i="7"/>
  <c r="B24" i="9"/>
  <c r="J35" i="4"/>
  <c r="C20" i="9"/>
  <c r="B52" i="9"/>
  <c r="C21" i="7"/>
  <c r="B23" i="9"/>
  <c r="I34" i="4"/>
  <c r="G569" i="2"/>
  <c r="G492" i="2"/>
  <c r="G619" i="2"/>
  <c r="G544" i="2"/>
  <c r="G497" i="2"/>
  <c r="G431" i="2"/>
  <c r="G614" i="2"/>
  <c r="G537" i="2"/>
  <c r="G451" i="2"/>
  <c r="G603" i="2"/>
  <c r="G556" i="2"/>
  <c r="G515" i="2"/>
  <c r="G524" i="2"/>
  <c r="G729" i="2"/>
  <c r="G789" i="2"/>
  <c r="G410" i="2"/>
  <c r="G772" i="2"/>
  <c r="G684" i="2"/>
  <c r="G759" i="2"/>
  <c r="G562" i="2"/>
  <c r="G696" i="2"/>
  <c r="G766" i="2"/>
  <c r="G775" i="2"/>
  <c r="G413" i="2"/>
  <c r="G668" i="2"/>
  <c r="G699" i="2"/>
  <c r="G754" i="2"/>
  <c r="G762" i="2"/>
  <c r="G702" i="2"/>
  <c r="G716" i="2"/>
  <c r="G691" i="2"/>
  <c r="G672" i="2"/>
  <c r="G794" i="2"/>
  <c r="G798" i="2"/>
  <c r="B34" i="4"/>
  <c r="C52" i="9"/>
  <c r="C45" i="9"/>
  <c r="C27" i="4"/>
  <c r="G31" i="9" a="1"/>
  <c r="G31" i="9" s="1"/>
  <c r="G34" i="9" s="1"/>
  <c r="G608" i="2"/>
  <c r="G539" i="2"/>
  <c r="G490" i="2"/>
  <c r="G421" i="2"/>
  <c r="G611" i="2"/>
  <c r="G521" i="2"/>
  <c r="G661" i="2"/>
  <c r="G600" i="2"/>
  <c r="G550" i="2"/>
  <c r="G495" i="2"/>
  <c r="G527" i="2"/>
  <c r="G697" i="2"/>
  <c r="G657" i="2"/>
  <c r="G612" i="2"/>
  <c r="G784" i="2"/>
  <c r="G755" i="2"/>
  <c r="G494" i="2"/>
  <c r="G734" i="2"/>
  <c r="G799" i="2"/>
  <c r="G686" i="2"/>
  <c r="G758" i="2"/>
  <c r="G779" i="2"/>
  <c r="G796" i="2"/>
  <c r="G645" i="2"/>
  <c r="G688" i="2"/>
  <c r="G750" i="2"/>
  <c r="G760" i="2"/>
  <c r="G700" i="2"/>
  <c r="G692" i="2"/>
  <c r="G687" i="2"/>
  <c r="G656" i="2"/>
  <c r="G790" i="2"/>
  <c r="G717" i="2"/>
  <c r="C48" i="9"/>
  <c r="B30" i="4"/>
  <c r="C19" i="9"/>
  <c r="C23" i="9"/>
  <c r="C16" i="9"/>
  <c r="E32" i="7"/>
  <c r="G488" i="2"/>
  <c r="G658" i="2"/>
  <c r="G597" i="2"/>
  <c r="G519" i="2"/>
  <c r="G653" i="2"/>
  <c r="G592" i="2"/>
  <c r="G542" i="2"/>
  <c r="G493" i="2"/>
  <c r="G545" i="2"/>
  <c r="G673" i="2"/>
  <c r="G749" i="2"/>
  <c r="G793" i="2"/>
  <c r="G411" i="2"/>
  <c r="G788" i="2"/>
  <c r="G738" i="2"/>
  <c r="G728" i="2"/>
  <c r="G768" i="2"/>
  <c r="G573" i="2"/>
  <c r="G743" i="2"/>
  <c r="G751" i="2"/>
  <c r="G786" i="2"/>
  <c r="G756" i="2"/>
  <c r="G678" i="2"/>
  <c r="G690" i="2"/>
  <c r="G748" i="2"/>
  <c r="G698" i="2"/>
  <c r="G666" i="2"/>
  <c r="G646" i="2"/>
  <c r="G610" i="2"/>
  <c r="G733" i="2"/>
  <c r="D29" i="4"/>
  <c r="B47" i="9"/>
  <c r="C16" i="7"/>
  <c r="B18" i="9"/>
  <c r="C46" i="9"/>
  <c r="B28" i="4"/>
  <c r="B22" i="9"/>
  <c r="H33" i="4"/>
  <c r="B51" i="9"/>
  <c r="C20" i="7"/>
  <c r="C17" i="9"/>
  <c r="E2" i="7" a="1"/>
  <c r="E2" i="7" s="1"/>
  <c r="E5" i="7" s="1"/>
  <c r="E26" i="7" a="1"/>
  <c r="E26" i="7" s="1"/>
  <c r="E29" i="7" s="1"/>
  <c r="G480" i="2"/>
  <c r="G650" i="2"/>
  <c r="G583" i="2"/>
  <c r="G510" i="2"/>
  <c r="G642" i="2"/>
  <c r="G589" i="2"/>
  <c r="G535" i="2"/>
  <c r="G424" i="2"/>
  <c r="G761" i="2"/>
  <c r="G409" i="2"/>
  <c r="G693" i="2"/>
  <c r="G414" i="2"/>
  <c r="G780" i="2"/>
  <c r="G791" i="2"/>
  <c r="G714" i="2"/>
  <c r="G764" i="2"/>
  <c r="G536" i="2"/>
  <c r="G727" i="2"/>
  <c r="G736" i="2"/>
  <c r="G408" i="2"/>
  <c r="G752" i="2"/>
  <c r="G671" i="2"/>
  <c r="G670" i="2"/>
  <c r="G746" i="2"/>
  <c r="G683" i="2"/>
  <c r="G623" i="2"/>
  <c r="G631" i="2"/>
  <c r="G582" i="2"/>
  <c r="G705" i="2"/>
  <c r="G667" i="2"/>
  <c r="G745" i="2"/>
  <c r="C47" i="9"/>
  <c r="B29" i="4"/>
  <c r="G533" i="2"/>
  <c r="G416" i="2"/>
  <c r="G681" i="2"/>
  <c r="G800" i="2"/>
  <c r="G763" i="2"/>
  <c r="G783" i="2"/>
  <c r="G707" i="2"/>
  <c r="G740" i="2"/>
  <c r="G741" i="2"/>
  <c r="G706" i="2"/>
  <c r="G679" i="2"/>
  <c r="G742" i="2"/>
  <c r="G747" i="2"/>
  <c r="G518" i="2"/>
  <c r="G635" i="2"/>
  <c r="G732" i="2"/>
  <c r="G680" i="2"/>
  <c r="G433" i="2"/>
  <c r="G595" i="2"/>
  <c r="G504" i="2"/>
  <c r="G737" i="2"/>
  <c r="G704" i="2"/>
  <c r="G769" i="2"/>
  <c r="E2" i="6" a="1"/>
  <c r="E2" i="6" s="1"/>
  <c r="D27" i="4"/>
  <c r="B32" i="4"/>
  <c r="C50" i="9"/>
  <c r="C21" i="9"/>
  <c r="D22" i="9"/>
  <c r="E22" i="9" s="1"/>
  <c r="I787" i="2"/>
  <c r="I796" i="2"/>
  <c r="F442" i="2"/>
  <c r="I445" i="2"/>
  <c r="I509" i="2"/>
  <c r="I573" i="2"/>
  <c r="I630" i="2"/>
  <c r="I700" i="2"/>
  <c r="I775" i="2"/>
  <c r="I743" i="2"/>
  <c r="I408" i="2"/>
  <c r="I744" i="2"/>
  <c r="I436" i="2"/>
  <c r="I500" i="2"/>
  <c r="I564" i="2"/>
  <c r="I645" i="2"/>
  <c r="I754" i="2"/>
  <c r="I606" i="2"/>
  <c r="I542" i="2"/>
  <c r="I478" i="2"/>
  <c r="I683" i="2"/>
  <c r="I619" i="2"/>
  <c r="I555" i="2"/>
  <c r="I491" i="2"/>
  <c r="I427" i="2"/>
  <c r="I698" i="2"/>
  <c r="I634" i="2"/>
  <c r="I570" i="2"/>
  <c r="I506" i="2"/>
  <c r="I442" i="2"/>
  <c r="I673" i="2"/>
  <c r="I609" i="2"/>
  <c r="I545" i="2"/>
  <c r="I481" i="2"/>
  <c r="I417" i="2"/>
  <c r="I640" i="2"/>
  <c r="I576" i="2"/>
  <c r="I512" i="2"/>
  <c r="I448" i="2"/>
  <c r="I695" i="2"/>
  <c r="I631" i="2"/>
  <c r="I567" i="2"/>
  <c r="I503" i="2"/>
  <c r="I439" i="2"/>
  <c r="I726" i="2"/>
  <c r="I795" i="2"/>
  <c r="I727" i="2"/>
  <c r="I411" i="2"/>
  <c r="D435" i="2"/>
  <c r="F465" i="2"/>
  <c r="F446" i="2"/>
  <c r="F464" i="2"/>
  <c r="F424" i="2"/>
  <c r="E418" i="2"/>
  <c r="E448" i="2"/>
  <c r="E512" i="2"/>
  <c r="E454" i="2"/>
  <c r="F712" i="2"/>
  <c r="F683" i="2"/>
  <c r="F798" i="2"/>
  <c r="I638" i="2"/>
  <c r="F735" i="2"/>
  <c r="F546" i="2"/>
  <c r="F659" i="2"/>
  <c r="F752" i="2"/>
  <c r="F587" i="2"/>
  <c r="F656" i="2"/>
  <c r="F723" i="2"/>
  <c r="F531" i="2"/>
  <c r="F589" i="2"/>
  <c r="F687" i="2"/>
  <c r="F484" i="2"/>
  <c r="E543" i="2"/>
  <c r="E665" i="2"/>
  <c r="E586" i="2"/>
  <c r="D430" i="2"/>
  <c r="E739" i="2"/>
  <c r="E601" i="2"/>
  <c r="E659" i="2"/>
  <c r="E655" i="2"/>
  <c r="D550" i="2"/>
  <c r="D498" i="2"/>
  <c r="D438" i="2"/>
  <c r="D466" i="2"/>
  <c r="K752" i="2"/>
  <c r="K410" i="2"/>
  <c r="K600" i="2"/>
  <c r="I461" i="2"/>
  <c r="I589" i="2"/>
  <c r="I652" i="2"/>
  <c r="I720" i="2"/>
  <c r="I693" i="2"/>
  <c r="I760" i="2"/>
  <c r="I761" i="2"/>
  <c r="I452" i="2"/>
  <c r="I516" i="2"/>
  <c r="I677" i="2"/>
  <c r="I590" i="2"/>
  <c r="I462" i="2"/>
  <c r="I603" i="2"/>
  <c r="I539" i="2"/>
  <c r="I746" i="2"/>
  <c r="I618" i="2"/>
  <c r="I554" i="2"/>
  <c r="I426" i="2"/>
  <c r="I593" i="2"/>
  <c r="I465" i="2"/>
  <c r="I688" i="2"/>
  <c r="I560" i="2"/>
  <c r="I496" i="2"/>
  <c r="I679" i="2"/>
  <c r="I551" i="2"/>
  <c r="I423" i="2"/>
  <c r="I636" i="2"/>
  <c r="I421" i="2"/>
  <c r="F452" i="2"/>
  <c r="I556" i="2"/>
  <c r="F524" i="2"/>
  <c r="I716" i="2"/>
  <c r="F705" i="2"/>
  <c r="F515" i="2"/>
  <c r="F543" i="2"/>
  <c r="F548" i="2"/>
  <c r="F509" i="2"/>
  <c r="I525" i="2"/>
  <c r="I791" i="2"/>
  <c r="I694" i="2"/>
  <c r="I580" i="2"/>
  <c r="I770" i="2"/>
  <c r="I526" i="2"/>
  <c r="I667" i="2"/>
  <c r="I475" i="2"/>
  <c r="I682" i="2"/>
  <c r="I490" i="2"/>
  <c r="I657" i="2"/>
  <c r="I529" i="2"/>
  <c r="I624" i="2"/>
  <c r="I432" i="2"/>
  <c r="I615" i="2"/>
  <c r="I487" i="2"/>
  <c r="I747" i="2"/>
  <c r="I739" i="2"/>
  <c r="F473" i="2"/>
  <c r="F436" i="2"/>
  <c r="F472" i="2"/>
  <c r="F433" i="2"/>
  <c r="F428" i="2"/>
  <c r="F765" i="2"/>
  <c r="F728" i="2"/>
  <c r="I732" i="2"/>
  <c r="I768" i="2"/>
  <c r="I702" i="2"/>
  <c r="I582" i="2"/>
  <c r="I659" i="2"/>
  <c r="I531" i="2"/>
  <c r="I674" i="2"/>
  <c r="I546" i="2"/>
  <c r="I418" i="2"/>
  <c r="I585" i="2"/>
  <c r="I457" i="2"/>
  <c r="I616" i="2"/>
  <c r="I424" i="2"/>
  <c r="I543" i="2"/>
  <c r="I501" i="2"/>
  <c r="I646" i="2"/>
  <c r="I748" i="2"/>
  <c r="F713" i="2"/>
  <c r="F535" i="2"/>
  <c r="F762" i="2"/>
  <c r="F616" i="2"/>
  <c r="I477" i="2"/>
  <c r="I541" i="2"/>
  <c r="I605" i="2"/>
  <c r="I662" i="2"/>
  <c r="I742" i="2"/>
  <c r="I414" i="2"/>
  <c r="I707" i="2"/>
  <c r="I776" i="2"/>
  <c r="I704" i="2"/>
  <c r="I777" i="2"/>
  <c r="I468" i="2"/>
  <c r="I532" i="2"/>
  <c r="I596" i="2"/>
  <c r="I709" i="2"/>
  <c r="I786" i="2"/>
  <c r="I574" i="2"/>
  <c r="I510" i="2"/>
  <c r="I446" i="2"/>
  <c r="I651" i="2"/>
  <c r="I587" i="2"/>
  <c r="I523" i="2"/>
  <c r="I459" i="2"/>
  <c r="I730" i="2"/>
  <c r="I666" i="2"/>
  <c r="I602" i="2"/>
  <c r="I538" i="2"/>
  <c r="I474" i="2"/>
  <c r="I705" i="2"/>
  <c r="I641" i="2"/>
  <c r="I577" i="2"/>
  <c r="I513" i="2"/>
  <c r="I449" i="2"/>
  <c r="I672" i="2"/>
  <c r="I608" i="2"/>
  <c r="I544" i="2"/>
  <c r="I480" i="2"/>
  <c r="I416" i="2"/>
  <c r="I663" i="2"/>
  <c r="I599" i="2"/>
  <c r="I535" i="2"/>
  <c r="I471" i="2"/>
  <c r="I668" i="2"/>
  <c r="I763" i="2"/>
  <c r="I756" i="2"/>
  <c r="F447" i="2"/>
  <c r="F483" i="2"/>
  <c r="F426" i="2"/>
  <c r="F482" i="2"/>
  <c r="E420" i="2"/>
  <c r="E467" i="2"/>
  <c r="E527" i="2"/>
  <c r="E503" i="2"/>
  <c r="E498" i="2"/>
  <c r="E510" i="2"/>
  <c r="F599" i="2"/>
  <c r="F706" i="2"/>
  <c r="F529" i="2"/>
  <c r="I729" i="2"/>
  <c r="I572" i="2"/>
  <c r="F674" i="2"/>
  <c r="F746" i="2"/>
  <c r="F516" i="2"/>
  <c r="F696" i="2"/>
  <c r="F748" i="2"/>
  <c r="F503" i="2"/>
  <c r="F637" i="2"/>
  <c r="F686" i="2"/>
  <c r="F481" i="2"/>
  <c r="F602" i="2"/>
  <c r="E728" i="2"/>
  <c r="D447" i="2"/>
  <c r="E711" i="2"/>
  <c r="E589" i="2"/>
  <c r="E590" i="2"/>
  <c r="E785" i="2"/>
  <c r="E621" i="2"/>
  <c r="E547" i="2"/>
  <c r="D631" i="2"/>
  <c r="D593" i="2"/>
  <c r="D660" i="2"/>
  <c r="D474" i="2"/>
  <c r="F427" i="2"/>
  <c r="F454" i="2"/>
  <c r="F417" i="2"/>
  <c r="F459" i="2"/>
  <c r="F460" i="2"/>
  <c r="F474" i="2"/>
  <c r="I758" i="2"/>
  <c r="I540" i="2"/>
  <c r="F678" i="2"/>
  <c r="F525" i="2"/>
  <c r="F507" i="2"/>
  <c r="F661" i="2"/>
  <c r="F500" i="2"/>
  <c r="I751" i="2"/>
  <c r="I621" i="2"/>
  <c r="I721" i="2"/>
  <c r="I784" i="2"/>
  <c r="I654" i="2"/>
  <c r="I708" i="2"/>
  <c r="I785" i="2"/>
  <c r="I725" i="2"/>
  <c r="I794" i="2"/>
  <c r="I566" i="2"/>
  <c r="I502" i="2"/>
  <c r="I438" i="2"/>
  <c r="I643" i="2"/>
  <c r="I579" i="2"/>
  <c r="I515" i="2"/>
  <c r="I451" i="2"/>
  <c r="I722" i="2"/>
  <c r="I658" i="2"/>
  <c r="I594" i="2"/>
  <c r="I530" i="2"/>
  <c r="I466" i="2"/>
  <c r="I697" i="2"/>
  <c r="I633" i="2"/>
  <c r="I569" i="2"/>
  <c r="I505" i="2"/>
  <c r="I441" i="2"/>
  <c r="I664" i="2"/>
  <c r="I600" i="2"/>
  <c r="I536" i="2"/>
  <c r="I472" i="2"/>
  <c r="I719" i="2"/>
  <c r="I655" i="2"/>
  <c r="I591" i="2"/>
  <c r="I527" i="2"/>
  <c r="I463" i="2"/>
  <c r="I453" i="2"/>
  <c r="I517" i="2"/>
  <c r="I581" i="2"/>
  <c r="I678" i="2"/>
  <c r="I771" i="2"/>
  <c r="I764" i="2"/>
  <c r="D442" i="2"/>
  <c r="F434" i="2"/>
  <c r="D439" i="2"/>
  <c r="E424" i="2"/>
  <c r="E531" i="2"/>
  <c r="E517" i="2"/>
  <c r="E502" i="2"/>
  <c r="F617" i="2"/>
  <c r="F608" i="2"/>
  <c r="F770" i="2"/>
  <c r="F595" i="2"/>
  <c r="I728" i="2"/>
  <c r="I444" i="2"/>
  <c r="F668" i="2"/>
  <c r="F727" i="2"/>
  <c r="F489" i="2"/>
  <c r="F671" i="2"/>
  <c r="F722" i="2"/>
  <c r="F490" i="2"/>
  <c r="F623" i="2"/>
  <c r="F667" i="2"/>
  <c r="F594" i="2"/>
  <c r="E737" i="2"/>
  <c r="E722" i="2"/>
  <c r="E786" i="2"/>
  <c r="E560" i="2"/>
  <c r="E519" i="2"/>
  <c r="D609" i="2"/>
  <c r="D590" i="2"/>
  <c r="D577" i="2"/>
  <c r="D468" i="2"/>
  <c r="E476" i="2"/>
  <c r="F456" i="2"/>
  <c r="I429" i="2"/>
  <c r="I493" i="2"/>
  <c r="I557" i="2"/>
  <c r="I620" i="2"/>
  <c r="I684" i="2"/>
  <c r="I759" i="2"/>
  <c r="I723" i="2"/>
  <c r="I792" i="2"/>
  <c r="I724" i="2"/>
  <c r="I793" i="2"/>
  <c r="I484" i="2"/>
  <c r="I548" i="2"/>
  <c r="I612" i="2"/>
  <c r="I735" i="2"/>
  <c r="I409" i="2"/>
  <c r="I558" i="2"/>
  <c r="I494" i="2"/>
  <c r="I430" i="2"/>
  <c r="I635" i="2"/>
  <c r="I571" i="2"/>
  <c r="I507" i="2"/>
  <c r="I443" i="2"/>
  <c r="I714" i="2"/>
  <c r="I650" i="2"/>
  <c r="I586" i="2"/>
  <c r="I522" i="2"/>
  <c r="I458" i="2"/>
  <c r="I689" i="2"/>
  <c r="I625" i="2"/>
  <c r="I561" i="2"/>
  <c r="I497" i="2"/>
  <c r="I433" i="2"/>
  <c r="I656" i="2"/>
  <c r="I592" i="2"/>
  <c r="I528" i="2"/>
  <c r="I464" i="2"/>
  <c r="I711" i="2"/>
  <c r="I647" i="2"/>
  <c r="I583" i="2"/>
  <c r="I519" i="2"/>
  <c r="I455" i="2"/>
  <c r="I710" i="2"/>
  <c r="I779" i="2"/>
  <c r="I637" i="2"/>
  <c r="I788" i="2"/>
  <c r="F455" i="2"/>
  <c r="D417" i="2"/>
  <c r="I428" i="2"/>
  <c r="F444" i="2"/>
  <c r="D460" i="2"/>
  <c r="D421" i="2"/>
  <c r="F441" i="2"/>
  <c r="E491" i="2"/>
  <c r="E416" i="2"/>
  <c r="E466" i="2"/>
  <c r="E516" i="2"/>
  <c r="F745" i="2"/>
  <c r="F631" i="2"/>
  <c r="F511" i="2"/>
  <c r="I670" i="2"/>
  <c r="I699" i="2"/>
  <c r="F629" i="2"/>
  <c r="F689" i="2"/>
  <c r="F463" i="2"/>
  <c r="F609" i="2"/>
  <c r="F702" i="2"/>
  <c r="F475" i="2"/>
  <c r="F588" i="2"/>
  <c r="F653" i="2"/>
  <c r="F420" i="2"/>
  <c r="F528" i="2"/>
  <c r="E752" i="2"/>
  <c r="E731" i="2"/>
  <c r="E642" i="2"/>
  <c r="E412" i="2"/>
  <c r="E552" i="2"/>
  <c r="D639" i="2"/>
  <c r="D603" i="2"/>
  <c r="D579" i="2"/>
  <c r="F685" i="2"/>
  <c r="F439" i="2"/>
  <c r="F628" i="2"/>
  <c r="I799" i="2"/>
  <c r="I701" i="2"/>
  <c r="I644" i="2"/>
  <c r="I769" i="2"/>
  <c r="I778" i="2"/>
  <c r="I518" i="2"/>
  <c r="I454" i="2"/>
  <c r="I595" i="2"/>
  <c r="I467" i="2"/>
  <c r="I738" i="2"/>
  <c r="I610" i="2"/>
  <c r="I482" i="2"/>
  <c r="I649" i="2"/>
  <c r="I521" i="2"/>
  <c r="I680" i="2"/>
  <c r="I552" i="2"/>
  <c r="I488" i="2"/>
  <c r="I671" i="2"/>
  <c r="I607" i="2"/>
  <c r="I479" i="2"/>
  <c r="I415" i="2"/>
  <c r="I565" i="2"/>
  <c r="I755" i="2"/>
  <c r="F625" i="2"/>
  <c r="I692" i="2"/>
  <c r="I767" i="2"/>
  <c r="I653" i="2"/>
  <c r="I733" i="2"/>
  <c r="I800" i="2"/>
  <c r="I676" i="2"/>
  <c r="I734" i="2"/>
  <c r="I801" i="2"/>
  <c r="I745" i="2"/>
  <c r="I614" i="2"/>
  <c r="I550" i="2"/>
  <c r="I486" i="2"/>
  <c r="I422" i="2"/>
  <c r="I627" i="2"/>
  <c r="I563" i="2"/>
  <c r="I499" i="2"/>
  <c r="I435" i="2"/>
  <c r="I706" i="2"/>
  <c r="I642" i="2"/>
  <c r="I578" i="2"/>
  <c r="I514" i="2"/>
  <c r="I450" i="2"/>
  <c r="I681" i="2"/>
  <c r="I617" i="2"/>
  <c r="I553" i="2"/>
  <c r="I489" i="2"/>
  <c r="I425" i="2"/>
  <c r="I648" i="2"/>
  <c r="I584" i="2"/>
  <c r="I520" i="2"/>
  <c r="I456" i="2"/>
  <c r="I703" i="2"/>
  <c r="I639" i="2"/>
  <c r="I575" i="2"/>
  <c r="I511" i="2"/>
  <c r="I447" i="2"/>
  <c r="I469" i="2"/>
  <c r="I533" i="2"/>
  <c r="I597" i="2"/>
  <c r="I669" i="2"/>
  <c r="F418" i="2"/>
  <c r="F445" i="2"/>
  <c r="F425" i="2"/>
  <c r="F469" i="2"/>
  <c r="F573" i="2"/>
  <c r="I740" i="2"/>
  <c r="F577" i="2"/>
  <c r="F669" i="2"/>
  <c r="F769" i="2"/>
  <c r="F600" i="2"/>
  <c r="F672" i="2"/>
  <c r="F453" i="2"/>
  <c r="F558" i="2"/>
  <c r="F639" i="2"/>
  <c r="F734" i="2"/>
  <c r="F510" i="2"/>
  <c r="B408" i="2"/>
  <c r="D703" i="2"/>
  <c r="D755" i="2"/>
  <c r="D488" i="2"/>
  <c r="D594" i="2"/>
  <c r="D484" i="2"/>
  <c r="D566" i="2"/>
  <c r="D641" i="2"/>
  <c r="D560" i="2"/>
  <c r="D646" i="2"/>
  <c r="D529" i="2"/>
  <c r="D604" i="2"/>
  <c r="D445" i="2"/>
  <c r="D531" i="2"/>
  <c r="D623" i="2"/>
  <c r="D483" i="2"/>
  <c r="D570" i="2"/>
  <c r="D653" i="2"/>
  <c r="D471" i="2"/>
  <c r="D429" i="2"/>
  <c r="D611" i="2"/>
  <c r="D422" i="2"/>
  <c r="D420" i="2"/>
  <c r="D530" i="2"/>
  <c r="D655" i="2"/>
  <c r="D501" i="2"/>
  <c r="D588" i="2"/>
  <c r="D444" i="2"/>
  <c r="D596" i="2"/>
  <c r="D459" i="2"/>
  <c r="D557" i="2"/>
  <c r="D640" i="2"/>
  <c r="D481" i="2"/>
  <c r="D562" i="2"/>
  <c r="D433" i="2"/>
  <c r="D515" i="2"/>
  <c r="D592" i="2"/>
  <c r="D598" i="2"/>
  <c r="D547" i="2"/>
  <c r="D448" i="2"/>
  <c r="D528" i="2"/>
  <c r="D461" i="2"/>
  <c r="D434" i="2"/>
  <c r="D440" i="2"/>
  <c r="D558" i="2"/>
  <c r="D428" i="2"/>
  <c r="D514" i="2"/>
  <c r="D605" i="2"/>
  <c r="D457" i="2"/>
  <c r="D610" i="2"/>
  <c r="D496" i="2"/>
  <c r="D568" i="2"/>
  <c r="D643" i="2"/>
  <c r="D491" i="2"/>
  <c r="D573" i="2"/>
  <c r="D436" i="2"/>
  <c r="D533" i="2"/>
  <c r="D600" i="2"/>
  <c r="D584" i="2"/>
  <c r="D535" i="2"/>
  <c r="D520" i="2"/>
  <c r="D537" i="2"/>
  <c r="E726" i="2"/>
  <c r="E690" i="2"/>
  <c r="E474" i="2"/>
  <c r="E449" i="2"/>
  <c r="E660" i="2"/>
  <c r="E426" i="2"/>
  <c r="E637" i="2"/>
  <c r="E623" i="2"/>
  <c r="E773" i="2"/>
  <c r="E654" i="2"/>
  <c r="E721" i="2"/>
  <c r="E763" i="2"/>
  <c r="E716" i="2"/>
  <c r="E606" i="2"/>
  <c r="E607" i="2"/>
  <c r="E719" i="2"/>
  <c r="E670" i="2"/>
  <c r="E714" i="2"/>
  <c r="E493" i="2"/>
  <c r="E761" i="2"/>
  <c r="E709" i="2"/>
  <c r="E496" i="2"/>
  <c r="E430" i="2"/>
  <c r="E489" i="2"/>
  <c r="E423" i="2"/>
  <c r="E441" i="2"/>
  <c r="E490" i="2"/>
  <c r="E451" i="2"/>
  <c r="E513" i="2"/>
  <c r="E427" i="2"/>
  <c r="E504" i="2"/>
  <c r="E414" i="2"/>
  <c r="E575" i="2"/>
  <c r="E561" i="2"/>
  <c r="E569" i="2"/>
  <c r="E563" i="2"/>
  <c r="E551" i="2"/>
  <c r="E445" i="2"/>
  <c r="E798" i="2"/>
  <c r="E749" i="2"/>
  <c r="E792" i="2"/>
  <c r="E664" i="2"/>
  <c r="E750" i="2"/>
  <c r="E686" i="2"/>
  <c r="E757" i="2"/>
  <c r="E700" i="2"/>
  <c r="E628" i="2"/>
  <c r="E526" i="2"/>
  <c r="E794" i="2"/>
  <c r="E684" i="2"/>
  <c r="E409" i="2"/>
  <c r="E748" i="2"/>
  <c r="E679" i="2"/>
  <c r="E528" i="2"/>
  <c r="E465" i="2"/>
  <c r="E525" i="2"/>
  <c r="E472" i="2"/>
  <c r="E507" i="2"/>
  <c r="E535" i="2"/>
  <c r="E475" i="2"/>
  <c r="E443" i="2"/>
  <c r="E473" i="2"/>
  <c r="E540" i="2"/>
  <c r="E487" i="2"/>
  <c r="E434" i="2"/>
  <c r="E796" i="2"/>
  <c r="E611" i="2"/>
  <c r="E591" i="2"/>
  <c r="E585" i="2"/>
  <c r="E596" i="2"/>
  <c r="E576" i="2"/>
  <c r="E559" i="2"/>
  <c r="E789" i="2"/>
  <c r="E718" i="2"/>
  <c r="E782" i="2"/>
  <c r="E662" i="2"/>
  <c r="E793" i="2"/>
  <c r="E747" i="2"/>
  <c r="E678" i="2"/>
  <c r="E751" i="2"/>
  <c r="E697" i="2"/>
  <c r="E600" i="2"/>
  <c r="E771" i="2"/>
  <c r="E676" i="2"/>
  <c r="E795" i="2"/>
  <c r="E740" i="2"/>
  <c r="E668" i="2"/>
  <c r="E523" i="2"/>
  <c r="E462" i="2"/>
  <c r="E520" i="2"/>
  <c r="E469" i="2"/>
  <c r="E494" i="2"/>
  <c r="E521" i="2"/>
  <c r="E464" i="2"/>
  <c r="E429" i="2"/>
  <c r="E470" i="2"/>
  <c r="E536" i="2"/>
  <c r="E481" i="2"/>
  <c r="E432" i="2"/>
  <c r="H785" i="2"/>
  <c r="H797" i="2"/>
  <c r="H736" i="2"/>
  <c r="H705" i="2"/>
  <c r="H541" i="2"/>
  <c r="H734" i="2"/>
  <c r="H686" i="2"/>
  <c r="H637" i="2"/>
  <c r="H761" i="2"/>
  <c r="H748" i="2"/>
  <c r="H737" i="2"/>
  <c r="H713" i="2"/>
  <c r="H769" i="2"/>
  <c r="H766" i="2"/>
  <c r="H725" i="2"/>
  <c r="H710" i="2"/>
  <c r="H509" i="2"/>
  <c r="H740" i="2"/>
  <c r="H685" i="2"/>
  <c r="H605" i="2"/>
  <c r="H669" i="2"/>
  <c r="H493" i="2"/>
  <c r="H753" i="2"/>
  <c r="H421" i="2"/>
  <c r="H767" i="2"/>
  <c r="H735" i="2"/>
  <c r="H716" i="2"/>
  <c r="H589" i="2"/>
  <c r="H741" i="2"/>
  <c r="H703" i="2"/>
  <c r="H647" i="2"/>
  <c r="H679" i="2"/>
  <c r="H758" i="2"/>
  <c r="H773" i="2"/>
  <c r="D543" i="2"/>
  <c r="D624" i="2"/>
  <c r="D649" i="2"/>
  <c r="D523" i="2"/>
  <c r="D591" i="2"/>
  <c r="I492" i="2"/>
  <c r="I691" i="2"/>
  <c r="I660" i="2"/>
  <c r="I757" i="2"/>
  <c r="I766" i="2"/>
  <c r="I508" i="2"/>
  <c r="I749" i="2"/>
  <c r="I437" i="2"/>
  <c r="I628" i="2"/>
  <c r="I588" i="2"/>
  <c r="I460" i="2"/>
  <c r="D791" i="2"/>
  <c r="D427" i="2"/>
  <c r="E500" i="2"/>
  <c r="E459" i="2"/>
  <c r="E453" i="2"/>
  <c r="E421" i="2"/>
  <c r="E455" i="2"/>
  <c r="E538" i="2"/>
  <c r="E514" i="2"/>
  <c r="I731" i="2"/>
  <c r="I476" i="2"/>
  <c r="C427" i="2"/>
  <c r="E438" i="2"/>
  <c r="E663" i="2"/>
  <c r="E764" i="2"/>
  <c r="E725" i="2"/>
  <c r="D554" i="2"/>
  <c r="E673" i="2"/>
  <c r="E777" i="2"/>
  <c r="D475" i="2"/>
  <c r="E694" i="2"/>
  <c r="E770" i="2"/>
  <c r="E617" i="2"/>
  <c r="E696" i="2"/>
  <c r="E603" i="2"/>
  <c r="E548" i="2"/>
  <c r="E635" i="2"/>
  <c r="E497" i="2"/>
  <c r="D617" i="2"/>
  <c r="D465" i="2"/>
  <c r="D559" i="2"/>
  <c r="D415" i="2"/>
  <c r="D534" i="2"/>
  <c r="D613" i="2"/>
  <c r="D638" i="2"/>
  <c r="D499" i="2"/>
  <c r="D580" i="2"/>
  <c r="E671" i="2"/>
  <c r="H801" i="2"/>
  <c r="I713" i="2"/>
  <c r="I772" i="2"/>
  <c r="D443" i="2"/>
  <c r="C429" i="2"/>
  <c r="C451" i="2"/>
  <c r="E509" i="2"/>
  <c r="E495" i="2"/>
  <c r="E458" i="2"/>
  <c r="E431" i="2"/>
  <c r="E463" i="2"/>
  <c r="E442" i="2"/>
  <c r="E532" i="2"/>
  <c r="H700" i="2"/>
  <c r="H771" i="2"/>
  <c r="H742" i="2"/>
  <c r="H724" i="2"/>
  <c r="H719" i="2"/>
  <c r="H694" i="2"/>
  <c r="I661" i="2"/>
  <c r="I629" i="2"/>
  <c r="C430" i="2"/>
  <c r="D455" i="2"/>
  <c r="E687" i="2"/>
  <c r="E767" i="2"/>
  <c r="E571" i="2"/>
  <c r="E734" i="2"/>
  <c r="E557" i="2"/>
  <c r="E681" i="2"/>
  <c r="E800" i="2"/>
  <c r="E515" i="2"/>
  <c r="E708" i="2"/>
  <c r="E776" i="2"/>
  <c r="E691" i="2"/>
  <c r="E533" i="2"/>
  <c r="E755" i="2"/>
  <c r="E595" i="2"/>
  <c r="E511" i="2"/>
  <c r="E605" i="2"/>
  <c r="E440" i="2"/>
  <c r="D589" i="2"/>
  <c r="D463" i="2"/>
  <c r="D540" i="2"/>
  <c r="D654" i="2"/>
  <c r="D527" i="2"/>
  <c r="D574" i="2"/>
  <c r="D627" i="2"/>
  <c r="D492" i="2"/>
  <c r="D561" i="2"/>
  <c r="E704" i="2"/>
  <c r="C433" i="2"/>
  <c r="C446" i="2"/>
  <c r="I715" i="2"/>
  <c r="I780" i="2"/>
  <c r="D452" i="2"/>
  <c r="D431" i="2"/>
  <c r="D449" i="2"/>
  <c r="D437" i="2"/>
  <c r="C453" i="2"/>
  <c r="E518" i="2"/>
  <c r="E508" i="2"/>
  <c r="E461" i="2"/>
  <c r="E450" i="2"/>
  <c r="E479" i="2"/>
  <c r="E444" i="2"/>
  <c r="H695" i="2"/>
  <c r="H749" i="2"/>
  <c r="H733" i="2"/>
  <c r="H718" i="2"/>
  <c r="H711" i="2"/>
  <c r="H573" i="2"/>
  <c r="I741" i="2"/>
  <c r="I765" i="2"/>
  <c r="E695" i="2"/>
  <c r="E778" i="2"/>
  <c r="E745" i="2"/>
  <c r="E689" i="2"/>
  <c r="D416" i="2"/>
  <c r="E529" i="2"/>
  <c r="E727" i="2"/>
  <c r="E713" i="2"/>
  <c r="E759" i="2"/>
  <c r="E581" i="2"/>
  <c r="E632" i="2"/>
  <c r="E549" i="2"/>
  <c r="E647" i="2"/>
  <c r="D578" i="2"/>
  <c r="D453" i="2"/>
  <c r="D524" i="2"/>
  <c r="D618" i="2"/>
  <c r="D516" i="2"/>
  <c r="D563" i="2"/>
  <c r="D616" i="2"/>
  <c r="D480" i="2"/>
  <c r="D521" i="2"/>
  <c r="E720" i="2"/>
  <c r="C783" i="2"/>
  <c r="C456" i="2"/>
  <c r="C416" i="2"/>
  <c r="C448" i="2"/>
  <c r="C739" i="2"/>
  <c r="C439" i="2"/>
  <c r="E717" i="2"/>
  <c r="D456" i="2"/>
  <c r="E801" i="2"/>
  <c r="D583" i="2"/>
  <c r="E703" i="2"/>
  <c r="D424" i="2"/>
  <c r="E550" i="2"/>
  <c r="E736" i="2"/>
  <c r="E724" i="2"/>
  <c r="D564" i="2"/>
  <c r="E784" i="2"/>
  <c r="E415" i="2"/>
  <c r="E624" i="2"/>
  <c r="E492" i="2"/>
  <c r="E625" i="2"/>
  <c r="D567" i="2"/>
  <c r="D645" i="2"/>
  <c r="D500" i="2"/>
  <c r="D607" i="2"/>
  <c r="D505" i="2"/>
  <c r="D546" i="2"/>
  <c r="D585" i="2"/>
  <c r="D470" i="2"/>
  <c r="D497" i="2"/>
  <c r="E743" i="2"/>
  <c r="F654" i="2"/>
  <c r="F478" i="2"/>
  <c r="F582" i="2"/>
  <c r="F757" i="2"/>
  <c r="F636" i="2"/>
  <c r="F450" i="2"/>
  <c r="F583" i="2"/>
  <c r="F443" i="2"/>
  <c r="F610" i="2"/>
  <c r="F740" i="2"/>
  <c r="F549" i="2"/>
  <c r="F717" i="2"/>
  <c r="F563" i="2"/>
  <c r="F506" i="2"/>
  <c r="F744" i="2"/>
  <c r="F641" i="2"/>
  <c r="F449" i="2"/>
  <c r="F574" i="2"/>
  <c r="F754" i="2"/>
  <c r="F622" i="2"/>
  <c r="F421" i="2"/>
  <c r="F570" i="2"/>
  <c r="F761" i="2"/>
  <c r="F601" i="2"/>
  <c r="F704" i="2"/>
  <c r="F536" i="2"/>
  <c r="F710" i="2"/>
  <c r="F541" i="2"/>
  <c r="C651" i="2"/>
  <c r="C743" i="2"/>
  <c r="C699" i="2"/>
  <c r="F771" i="2"/>
  <c r="F555" i="2"/>
  <c r="F438" i="2"/>
  <c r="F777" i="2"/>
  <c r="F693" i="2"/>
  <c r="F650" i="2"/>
  <c r="F572" i="2"/>
  <c r="F501" i="2"/>
  <c r="F440" i="2"/>
  <c r="F679" i="2"/>
  <c r="F642" i="2"/>
  <c r="F538" i="2"/>
  <c r="F485" i="2"/>
  <c r="F756" i="2"/>
  <c r="F730" i="2"/>
  <c r="F684" i="2"/>
  <c r="F618" i="2"/>
  <c r="F565" i="2"/>
  <c r="F494" i="2"/>
  <c r="F739" i="2"/>
  <c r="F666" i="2"/>
  <c r="F579" i="2"/>
  <c r="F521" i="2"/>
  <c r="F461" i="2"/>
  <c r="F749" i="2"/>
  <c r="F681" i="2"/>
  <c r="F619" i="2"/>
  <c r="F566" i="2"/>
  <c r="F495" i="2"/>
  <c r="F733" i="2"/>
  <c r="F663" i="2"/>
  <c r="F584" i="2"/>
  <c r="F522" i="2"/>
  <c r="F476" i="2"/>
  <c r="F724" i="2"/>
  <c r="F682" i="2"/>
  <c r="F611" i="2"/>
  <c r="F559" i="2"/>
  <c r="F505" i="2"/>
  <c r="E578" i="2"/>
  <c r="E699" i="2"/>
  <c r="E774" i="2"/>
  <c r="E643" i="2"/>
  <c r="E567" i="2"/>
  <c r="E669" i="2"/>
  <c r="E738" i="2"/>
  <c r="E780" i="2"/>
  <c r="E790" i="2"/>
  <c r="E620" i="2"/>
  <c r="E545" i="2"/>
  <c r="E634" i="2"/>
  <c r="E565" i="2"/>
  <c r="E657" i="2"/>
  <c r="E582" i="2"/>
  <c r="E652" i="2"/>
  <c r="E599" i="2"/>
  <c r="E541" i="2"/>
  <c r="E644" i="2"/>
  <c r="E580" i="2"/>
  <c r="E488" i="2"/>
  <c r="E636" i="2"/>
  <c r="E564" i="2"/>
  <c r="E698" i="2"/>
  <c r="E753" i="2"/>
  <c r="C611" i="2"/>
  <c r="D667" i="2"/>
  <c r="F564" i="2"/>
  <c r="F457" i="2"/>
  <c r="F797" i="2"/>
  <c r="F688" i="2"/>
  <c r="F645" i="2"/>
  <c r="F550" i="2"/>
  <c r="F497" i="2"/>
  <c r="F415" i="2"/>
  <c r="F675" i="2"/>
  <c r="F586" i="2"/>
  <c r="F534" i="2"/>
  <c r="F479" i="2"/>
  <c r="F755" i="2"/>
  <c r="F729" i="2"/>
  <c r="F680" i="2"/>
  <c r="F613" i="2"/>
  <c r="F561" i="2"/>
  <c r="F466" i="2"/>
  <c r="F731" i="2"/>
  <c r="F660" i="2"/>
  <c r="F575" i="2"/>
  <c r="F517" i="2"/>
  <c r="F458" i="2"/>
  <c r="F732" i="2"/>
  <c r="F662" i="2"/>
  <c r="F614" i="2"/>
  <c r="F562" i="2"/>
  <c r="F470" i="2"/>
  <c r="F709" i="2"/>
  <c r="F657" i="2"/>
  <c r="F580" i="2"/>
  <c r="F518" i="2"/>
  <c r="F467" i="2"/>
  <c r="F718" i="2"/>
  <c r="F649" i="2"/>
  <c r="F607" i="2"/>
  <c r="F554" i="2"/>
  <c r="F496" i="2"/>
  <c r="E592" i="2"/>
  <c r="E705" i="2"/>
  <c r="E775" i="2"/>
  <c r="E436" i="2"/>
  <c r="E672" i="2"/>
  <c r="E741" i="2"/>
  <c r="E783" i="2"/>
  <c r="E791" i="2"/>
  <c r="E609" i="2"/>
  <c r="E524" i="2"/>
  <c r="E626" i="2"/>
  <c r="E554" i="2"/>
  <c r="E646" i="2"/>
  <c r="E574" i="2"/>
  <c r="E649" i="2"/>
  <c r="E588" i="2"/>
  <c r="E501" i="2"/>
  <c r="E630" i="2"/>
  <c r="E572" i="2"/>
  <c r="E478" i="2"/>
  <c r="E633" i="2"/>
  <c r="E553" i="2"/>
  <c r="D549" i="2"/>
  <c r="D482" i="2"/>
  <c r="D619" i="2"/>
  <c r="D510" i="2"/>
  <c r="E579" i="2"/>
  <c r="E701" i="2"/>
  <c r="E779" i="2"/>
  <c r="C579" i="2"/>
  <c r="C619" i="2"/>
  <c r="C675" i="2"/>
  <c r="E746" i="2"/>
  <c r="D751" i="2"/>
  <c r="D763" i="2"/>
  <c r="F794" i="2"/>
  <c r="F630" i="2"/>
  <c r="F542" i="2"/>
  <c r="F488" i="2"/>
  <c r="F737" i="2"/>
  <c r="F665" i="2"/>
  <c r="F578" i="2"/>
  <c r="F520" i="2"/>
  <c r="F423" i="2"/>
  <c r="F753" i="2"/>
  <c r="F721" i="2"/>
  <c r="F670" i="2"/>
  <c r="F604" i="2"/>
  <c r="F552" i="2"/>
  <c r="F431" i="2"/>
  <c r="F714" i="2"/>
  <c r="F652" i="2"/>
  <c r="F557" i="2"/>
  <c r="F499" i="2"/>
  <c r="F448" i="2"/>
  <c r="F715" i="2"/>
  <c r="F648" i="2"/>
  <c r="F606" i="2"/>
  <c r="F553" i="2"/>
  <c r="F422" i="2"/>
  <c r="F691" i="2"/>
  <c r="F644" i="2"/>
  <c r="F571" i="2"/>
  <c r="F504" i="2"/>
  <c r="F432" i="2"/>
  <c r="F716" i="2"/>
  <c r="F634" i="2"/>
  <c r="F598" i="2"/>
  <c r="F532" i="2"/>
  <c r="F477" i="2"/>
  <c r="E638" i="2"/>
  <c r="E577" i="2"/>
  <c r="E482" i="2"/>
  <c r="E619" i="2"/>
  <c r="E558" i="2"/>
  <c r="E468" i="2"/>
  <c r="E614" i="2"/>
  <c r="E537" i="2"/>
  <c r="E618" i="2"/>
  <c r="E712" i="2"/>
  <c r="E410" i="2"/>
  <c r="E754" i="2"/>
  <c r="F774" i="2"/>
  <c r="C711" i="2"/>
  <c r="F779" i="2"/>
  <c r="F720" i="2"/>
  <c r="F719" i="2"/>
  <c r="F664" i="2"/>
  <c r="F585" i="2"/>
  <c r="F533" i="2"/>
  <c r="F471" i="2"/>
  <c r="F700" i="2"/>
  <c r="F655" i="2"/>
  <c r="F569" i="2"/>
  <c r="F502" i="2"/>
  <c r="F759" i="2"/>
  <c r="F751" i="2"/>
  <c r="F707" i="2"/>
  <c r="F632" i="2"/>
  <c r="F596" i="2"/>
  <c r="F526" i="2"/>
  <c r="F760" i="2"/>
  <c r="F690" i="2"/>
  <c r="F643" i="2"/>
  <c r="F544" i="2"/>
  <c r="F486" i="2"/>
  <c r="F429" i="2"/>
  <c r="F703" i="2"/>
  <c r="F633" i="2"/>
  <c r="F597" i="2"/>
  <c r="F527" i="2"/>
  <c r="F742" i="2"/>
  <c r="F677" i="2"/>
  <c r="F638" i="2"/>
  <c r="F545" i="2"/>
  <c r="F491" i="2"/>
  <c r="F763" i="2"/>
  <c r="F698" i="2"/>
  <c r="F624" i="2"/>
  <c r="F590" i="2"/>
  <c r="F523" i="2"/>
  <c r="F430" i="2"/>
  <c r="E675" i="2"/>
  <c r="E730" i="2"/>
  <c r="E799" i="2"/>
  <c r="E542" i="2"/>
  <c r="E629" i="2"/>
  <c r="E702" i="2"/>
  <c r="E762" i="2"/>
  <c r="E787" i="2"/>
  <c r="E645" i="2"/>
  <c r="E573" i="2"/>
  <c r="E651" i="2"/>
  <c r="E587" i="2"/>
  <c r="E471" i="2"/>
  <c r="E613" i="2"/>
  <c r="E546" i="2"/>
  <c r="E627" i="2"/>
  <c r="E566" i="2"/>
  <c r="E428" i="2"/>
  <c r="E602" i="2"/>
  <c r="E539" i="2"/>
  <c r="E658" i="2"/>
  <c r="E597" i="2"/>
  <c r="E506" i="2"/>
  <c r="E674" i="2"/>
  <c r="E723" i="2"/>
  <c r="E408" i="2"/>
  <c r="C799" i="2"/>
  <c r="F568" i="2"/>
  <c r="F793" i="2"/>
  <c r="F736" i="2"/>
  <c r="F493" i="2"/>
  <c r="F726" i="2"/>
  <c r="F711" i="2"/>
  <c r="F658" i="2"/>
  <c r="F581" i="2"/>
  <c r="F519" i="2"/>
  <c r="F468" i="2"/>
  <c r="F695" i="2"/>
  <c r="F651" i="2"/>
  <c r="F547" i="2"/>
  <c r="F498" i="2"/>
  <c r="F758" i="2"/>
  <c r="F747" i="2"/>
  <c r="F701" i="2"/>
  <c r="F626" i="2"/>
  <c r="F592" i="2"/>
  <c r="F512" i="2"/>
  <c r="F750" i="2"/>
  <c r="F676" i="2"/>
  <c r="F605" i="2"/>
  <c r="F539" i="2"/>
  <c r="F480" i="2"/>
  <c r="F416" i="2"/>
  <c r="F697" i="2"/>
  <c r="F627" i="2"/>
  <c r="F593" i="2"/>
  <c r="F513" i="2"/>
  <c r="F741" i="2"/>
  <c r="F673" i="2"/>
  <c r="F615" i="2"/>
  <c r="F540" i="2"/>
  <c r="F487" i="2"/>
  <c r="F743" i="2"/>
  <c r="F692" i="2"/>
  <c r="F620" i="2"/>
  <c r="F567" i="2"/>
  <c r="F514" i="2"/>
  <c r="F419" i="2"/>
  <c r="E683" i="2"/>
  <c r="E733" i="2"/>
  <c r="E570" i="2"/>
  <c r="E640" i="2"/>
  <c r="E710" i="2"/>
  <c r="E769" i="2"/>
  <c r="E788" i="2"/>
  <c r="E631" i="2"/>
  <c r="E562" i="2"/>
  <c r="E648" i="2"/>
  <c r="E584" i="2"/>
  <c r="E447" i="2"/>
  <c r="E610" i="2"/>
  <c r="E457" i="2"/>
  <c r="E616" i="2"/>
  <c r="E555" i="2"/>
  <c r="E417" i="2"/>
  <c r="E594" i="2"/>
  <c r="E530" i="2"/>
  <c r="E650" i="2"/>
  <c r="E583" i="2"/>
  <c r="E425" i="2"/>
  <c r="E682" i="2"/>
  <c r="E732" i="2"/>
  <c r="C703" i="2"/>
  <c r="D691" i="2"/>
  <c r="D671" i="2"/>
  <c r="B502" i="2"/>
  <c r="B705" i="2"/>
  <c r="B545" i="2"/>
  <c r="B501" i="2"/>
  <c r="B461" i="2"/>
  <c r="B417" i="2"/>
  <c r="B796" i="2"/>
  <c r="B748" i="2"/>
  <c r="B656" i="2"/>
  <c r="B576" i="2"/>
  <c r="B504" i="2"/>
  <c r="B736" i="2"/>
  <c r="B648" i="2"/>
  <c r="B560" i="2"/>
  <c r="B468" i="2"/>
  <c r="B693" i="2"/>
  <c r="B715" i="2"/>
  <c r="B667" i="2"/>
  <c r="B623" i="2"/>
  <c r="B583" i="2"/>
  <c r="B539" i="2"/>
  <c r="B495" i="2"/>
  <c r="B455" i="2"/>
  <c r="B713" i="2"/>
  <c r="B609" i="2"/>
  <c r="B561" i="2"/>
  <c r="B767" i="2"/>
  <c r="B510" i="2"/>
  <c r="B470" i="2"/>
  <c r="B426" i="2"/>
  <c r="B738" i="2"/>
  <c r="B578" i="2"/>
  <c r="B534" i="2"/>
  <c r="B761" i="2"/>
  <c r="B725" i="2"/>
  <c r="B626" i="2"/>
  <c r="B582" i="2"/>
  <c r="B769" i="2"/>
  <c r="B698" i="2"/>
  <c r="B533" i="2"/>
  <c r="B652" i="2"/>
  <c r="B732" i="2"/>
  <c r="B410" i="2"/>
  <c r="B619" i="2"/>
  <c r="B447" i="2"/>
  <c r="B553" i="2"/>
  <c r="B462" i="2"/>
  <c r="B749" i="2"/>
  <c r="B566" i="2"/>
  <c r="B614" i="2"/>
  <c r="B710" i="2"/>
  <c r="B661" i="2"/>
  <c r="B493" i="2"/>
  <c r="B636" i="2"/>
  <c r="B484" i="2"/>
  <c r="B716" i="2"/>
  <c r="B540" i="2"/>
  <c r="B703" i="2"/>
  <c r="B615" i="2"/>
  <c r="B527" i="2"/>
  <c r="B443" i="2"/>
  <c r="B597" i="2"/>
  <c r="B747" i="2"/>
  <c r="B558" i="2"/>
  <c r="B674" i="2"/>
  <c r="B777" i="2"/>
  <c r="B757" i="2"/>
  <c r="B646" i="2"/>
  <c r="B645" i="2"/>
  <c r="B525" i="2"/>
  <c r="B485" i="2"/>
  <c r="B445" i="2"/>
  <c r="B669" i="2"/>
  <c r="B780" i="2"/>
  <c r="B712" i="2"/>
  <c r="B632" i="2"/>
  <c r="B544" i="2"/>
  <c r="B476" i="2"/>
  <c r="B708" i="2"/>
  <c r="B612" i="2"/>
  <c r="B528" i="2"/>
  <c r="B444" i="2"/>
  <c r="B775" i="2"/>
  <c r="B699" i="2"/>
  <c r="B651" i="2"/>
  <c r="B246" i="3" s="1"/>
  <c r="B607" i="2"/>
  <c r="B567" i="2"/>
  <c r="B523" i="2"/>
  <c r="B479" i="2"/>
  <c r="B439" i="2"/>
  <c r="B673" i="2"/>
  <c r="B585" i="2"/>
  <c r="B541" i="2"/>
  <c r="B743" i="2"/>
  <c r="B338" i="3" s="1"/>
  <c r="B494" i="2"/>
  <c r="B454" i="2"/>
  <c r="B590" i="2"/>
  <c r="B770" i="2"/>
  <c r="B706" i="2"/>
  <c r="B662" i="2"/>
  <c r="B793" i="2"/>
  <c r="B773" i="2"/>
  <c r="B522" i="2"/>
  <c r="B721" i="2"/>
  <c r="B801" i="2"/>
  <c r="B681" i="2"/>
  <c r="B497" i="2"/>
  <c r="B792" i="2"/>
  <c r="B572" i="2"/>
  <c r="B640" i="2"/>
  <c r="B707" i="2"/>
  <c r="B663" i="2"/>
  <c r="B491" i="2"/>
  <c r="B701" i="2"/>
  <c r="B506" i="2"/>
  <c r="B422" i="2"/>
  <c r="B642" i="2"/>
  <c r="B658" i="2"/>
  <c r="B785" i="2"/>
  <c r="B529" i="2"/>
  <c r="B449" i="2"/>
  <c r="B720" i="2"/>
  <c r="B564" i="2"/>
  <c r="B628" i="2"/>
  <c r="B452" i="2"/>
  <c r="B795" i="2"/>
  <c r="B655" i="2"/>
  <c r="B571" i="2"/>
  <c r="B487" i="2"/>
  <c r="B685" i="2"/>
  <c r="B549" i="2"/>
  <c r="B458" i="2"/>
  <c r="B754" i="2"/>
  <c r="B630" i="2"/>
  <c r="B709" i="2"/>
  <c r="B790" i="2"/>
  <c r="B633" i="2"/>
  <c r="B521" i="2"/>
  <c r="B481" i="2"/>
  <c r="B437" i="2"/>
  <c r="B657" i="2"/>
  <c r="B776" i="2"/>
  <c r="B696" i="2"/>
  <c r="B624" i="2"/>
  <c r="B536" i="2"/>
  <c r="B448" i="2"/>
  <c r="B43" i="3" s="1"/>
  <c r="B700" i="2"/>
  <c r="B604" i="2"/>
  <c r="B508" i="2"/>
  <c r="B440" i="2"/>
  <c r="B759" i="2"/>
  <c r="B687" i="2"/>
  <c r="B647" i="2"/>
  <c r="B603" i="2"/>
  <c r="B559" i="2"/>
  <c r="B519" i="2"/>
  <c r="B475" i="2"/>
  <c r="B431" i="2"/>
  <c r="B665" i="2"/>
  <c r="B581" i="2"/>
  <c r="B799" i="2"/>
  <c r="B394" i="3" s="1"/>
  <c r="B739" i="2"/>
  <c r="B490" i="2"/>
  <c r="B446" i="2"/>
  <c r="B41" i="3" s="1"/>
  <c r="B622" i="2"/>
  <c r="B781" i="2"/>
  <c r="B670" i="2"/>
  <c r="B694" i="2"/>
  <c r="B798" i="2"/>
  <c r="B794" i="2"/>
  <c r="B554" i="2"/>
  <c r="B726" i="2"/>
  <c r="B538" i="2"/>
  <c r="B548" i="2"/>
  <c r="B535" i="2"/>
  <c r="B763" i="2"/>
  <c r="B766" i="2"/>
  <c r="B677" i="2"/>
  <c r="B621" i="2"/>
  <c r="B517" i="2"/>
  <c r="B477" i="2"/>
  <c r="B433" i="2"/>
  <c r="B629" i="2"/>
  <c r="B772" i="2"/>
  <c r="B692" i="2"/>
  <c r="B608" i="2"/>
  <c r="B532" i="2"/>
  <c r="B416" i="2"/>
  <c r="B11" i="3" s="1"/>
  <c r="B680" i="2"/>
  <c r="B596" i="2"/>
  <c r="B500" i="2"/>
  <c r="B432" i="2"/>
  <c r="B751" i="2"/>
  <c r="B683" i="2"/>
  <c r="B639" i="2"/>
  <c r="B599" i="2"/>
  <c r="B555" i="2"/>
  <c r="B511" i="2"/>
  <c r="B471" i="2"/>
  <c r="B427" i="2"/>
  <c r="B649" i="2"/>
  <c r="B577" i="2"/>
  <c r="B791" i="2"/>
  <c r="B727" i="2"/>
  <c r="B486" i="2"/>
  <c r="B442" i="2"/>
  <c r="B37" i="3" s="1"/>
  <c r="B686" i="2"/>
  <c r="B786" i="2"/>
  <c r="B714" i="2"/>
  <c r="B729" i="2"/>
  <c r="B574" i="2"/>
  <c r="B412" i="2"/>
  <c r="B618" i="2"/>
  <c r="B737" i="2"/>
  <c r="B570" i="2"/>
  <c r="B453" i="2"/>
  <c r="B728" i="2"/>
  <c r="B488" i="2"/>
  <c r="B464" i="2"/>
  <c r="B575" i="2"/>
  <c r="B605" i="2"/>
  <c r="B741" i="2"/>
  <c r="B788" i="2"/>
  <c r="B601" i="2"/>
  <c r="B513" i="2"/>
  <c r="B469" i="2"/>
  <c r="B429" i="2"/>
  <c r="B613" i="2"/>
  <c r="B760" i="2"/>
  <c r="B684" i="2"/>
  <c r="B600" i="2"/>
  <c r="B516" i="2"/>
  <c r="B764" i="2"/>
  <c r="B676" i="2"/>
  <c r="B580" i="2"/>
  <c r="B492" i="2"/>
  <c r="B428" i="2"/>
  <c r="B723" i="2"/>
  <c r="B679" i="2"/>
  <c r="B635" i="2"/>
  <c r="B591" i="2"/>
  <c r="B551" i="2"/>
  <c r="B507" i="2"/>
  <c r="B463" i="2"/>
  <c r="B423" i="2"/>
  <c r="B637" i="2"/>
  <c r="B569" i="2"/>
  <c r="B783" i="2"/>
  <c r="B691" i="2"/>
  <c r="B478" i="2"/>
  <c r="B438" i="2"/>
  <c r="B717" i="2"/>
  <c r="B409" i="2"/>
  <c r="B746" i="2"/>
  <c r="B734" i="2"/>
  <c r="B638" i="2"/>
  <c r="B530" i="2"/>
  <c r="B650" i="2"/>
  <c r="B753" i="2"/>
  <c r="B602" i="2"/>
  <c r="B589" i="2"/>
  <c r="B509" i="2"/>
  <c r="B465" i="2"/>
  <c r="B421" i="2"/>
  <c r="B411" i="2"/>
  <c r="B756" i="2"/>
  <c r="B664" i="2"/>
  <c r="B592" i="2"/>
  <c r="B512" i="2"/>
  <c r="B744" i="2"/>
  <c r="B668" i="2"/>
  <c r="B568" i="2"/>
  <c r="B472" i="2"/>
  <c r="B424" i="2"/>
  <c r="B719" i="2"/>
  <c r="B671" i="2"/>
  <c r="B631" i="2"/>
  <c r="B587" i="2"/>
  <c r="B543" i="2"/>
  <c r="B503" i="2"/>
  <c r="B459" i="2"/>
  <c r="B415" i="2"/>
  <c r="B625" i="2"/>
  <c r="B565" i="2"/>
  <c r="B771" i="2"/>
  <c r="B518" i="2"/>
  <c r="B474" i="2"/>
  <c r="B430" i="2"/>
  <c r="B722" i="2"/>
  <c r="B546" i="2"/>
  <c r="B789" i="2"/>
  <c r="B745" i="2"/>
  <c r="B702" i="2"/>
  <c r="B594" i="2"/>
  <c r="B682" i="2"/>
  <c r="B758" i="2"/>
  <c r="B526" i="2"/>
  <c r="B634" i="2"/>
  <c r="B774" i="2"/>
  <c r="B678" i="2"/>
  <c r="B586" i="2"/>
  <c r="B562" i="2"/>
  <c r="B730" i="2"/>
  <c r="B782" i="2"/>
  <c r="B718" i="2"/>
  <c r="B762" i="2"/>
  <c r="B610" i="2"/>
  <c r="B765" i="2"/>
  <c r="B654" i="2"/>
  <c r="B434" i="2"/>
  <c r="B466" i="2"/>
  <c r="B498" i="2"/>
  <c r="B735" i="2"/>
  <c r="B779" i="2"/>
  <c r="B557" i="2"/>
  <c r="B593" i="2"/>
  <c r="B653" i="2"/>
  <c r="B419" i="2"/>
  <c r="B451" i="2"/>
  <c r="B46" i="3" s="1"/>
  <c r="B483" i="2"/>
  <c r="B515" i="2"/>
  <c r="B547" i="2"/>
  <c r="B579" i="2"/>
  <c r="B174" i="3" s="1"/>
  <c r="B611" i="2"/>
  <c r="B206" i="3" s="1"/>
  <c r="B643" i="2"/>
  <c r="B675" i="2"/>
  <c r="B711" i="2"/>
  <c r="B787" i="2"/>
  <c r="B436" i="2"/>
  <c r="B480" i="2"/>
  <c r="B556" i="2"/>
  <c r="B620" i="2"/>
  <c r="B688" i="2"/>
  <c r="B752" i="2"/>
  <c r="B496" i="2"/>
  <c r="B552" i="2"/>
  <c r="B616" i="2"/>
  <c r="B672" i="2"/>
  <c r="B740" i="2"/>
  <c r="B784" i="2"/>
  <c r="B641" i="2"/>
  <c r="B425" i="2"/>
  <c r="B457" i="2"/>
  <c r="B489" i="2"/>
  <c r="B413" i="2"/>
  <c r="B742" i="2"/>
  <c r="B550" i="2"/>
  <c r="B690" i="2"/>
  <c r="B778" i="2"/>
  <c r="B606" i="2"/>
  <c r="B750" i="2"/>
  <c r="B598" i="2"/>
  <c r="B542" i="2"/>
  <c r="B797" i="2"/>
  <c r="B733" i="2"/>
  <c r="B418" i="2"/>
  <c r="B450" i="2"/>
  <c r="B482" i="2"/>
  <c r="B514" i="2"/>
  <c r="B755" i="2"/>
  <c r="B414" i="2"/>
  <c r="B573" i="2"/>
  <c r="B617" i="2"/>
  <c r="B689" i="2"/>
  <c r="B435" i="2"/>
  <c r="B467" i="2"/>
  <c r="B499" i="2"/>
  <c r="B531" i="2"/>
  <c r="B563" i="2"/>
  <c r="B595" i="2"/>
  <c r="B627" i="2"/>
  <c r="B659" i="2"/>
  <c r="B695" i="2"/>
  <c r="B731" i="2"/>
  <c r="B420" i="2"/>
  <c r="B456" i="2"/>
  <c r="B520" i="2"/>
  <c r="B588" i="2"/>
  <c r="B660" i="2"/>
  <c r="B724" i="2"/>
  <c r="B460" i="2"/>
  <c r="B524" i="2"/>
  <c r="B584" i="2"/>
  <c r="B644" i="2"/>
  <c r="B704" i="2"/>
  <c r="B768" i="2"/>
  <c r="B800" i="2"/>
  <c r="B697" i="2"/>
  <c r="B441" i="2"/>
  <c r="B473" i="2"/>
  <c r="B505" i="2"/>
  <c r="B537" i="2"/>
  <c r="C779" i="2"/>
  <c r="D699" i="2"/>
  <c r="D679" i="2"/>
  <c r="C723" i="2"/>
  <c r="J450" i="2"/>
  <c r="J522" i="2"/>
  <c r="J458" i="2"/>
  <c r="J751" i="2"/>
  <c r="J755" i="2"/>
  <c r="J550" i="2"/>
  <c r="J586" i="2"/>
  <c r="J753" i="2"/>
  <c r="J408" i="2"/>
  <c r="J514" i="2"/>
  <c r="J749" i="2"/>
  <c r="J787" i="2"/>
  <c r="J786" i="2"/>
  <c r="J412" i="2"/>
  <c r="J649" i="2"/>
  <c r="J785" i="2"/>
  <c r="J413" i="2"/>
  <c r="J781" i="2"/>
  <c r="J782" i="2"/>
  <c r="J414" i="2"/>
  <c r="J754" i="2"/>
  <c r="J783" i="2"/>
  <c r="J750" i="2"/>
  <c r="D687" i="2"/>
  <c r="F778" i="2"/>
  <c r="D707" i="2"/>
  <c r="H671" i="2"/>
  <c r="H730" i="2"/>
  <c r="H762" i="2"/>
  <c r="H759" i="2"/>
  <c r="H772" i="2"/>
  <c r="H787" i="2"/>
  <c r="H408" i="2"/>
  <c r="H800" i="2"/>
  <c r="H413" i="2"/>
  <c r="H411" i="2"/>
  <c r="H776" i="2"/>
  <c r="H779" i="2"/>
  <c r="H786" i="2"/>
  <c r="H796" i="2"/>
  <c r="H756" i="2"/>
  <c r="H792" i="2"/>
  <c r="H752" i="2"/>
  <c r="H754" i="2"/>
  <c r="H768" i="2"/>
  <c r="H775" i="2"/>
  <c r="H784" i="2"/>
  <c r="H795" i="2"/>
  <c r="H799" i="2"/>
  <c r="H410" i="2"/>
  <c r="H728" i="2"/>
  <c r="H778" i="2"/>
  <c r="H780" i="2"/>
  <c r="H788" i="2"/>
  <c r="H412" i="2"/>
  <c r="H414" i="2"/>
  <c r="H774" i="2"/>
  <c r="H791" i="2"/>
  <c r="H782" i="2"/>
  <c r="H738" i="2"/>
  <c r="H783" i="2"/>
  <c r="H798" i="2"/>
  <c r="H770" i="2"/>
  <c r="H790" i="2"/>
  <c r="H409" i="2"/>
  <c r="H794" i="2"/>
  <c r="D771" i="2"/>
  <c r="C751" i="2"/>
  <c r="D723" i="2"/>
  <c r="D695" i="2"/>
  <c r="H781" i="2"/>
  <c r="D467" i="2"/>
  <c r="D606" i="2"/>
  <c r="D556" i="2"/>
  <c r="D493" i="2"/>
  <c r="D656" i="2"/>
  <c r="D581" i="2"/>
  <c r="D513" i="2"/>
  <c r="D469" i="2"/>
  <c r="D629" i="2"/>
  <c r="D571" i="2"/>
  <c r="D518" i="2"/>
  <c r="D657" i="2"/>
  <c r="D582" i="2"/>
  <c r="D464" i="2"/>
  <c r="D635" i="2"/>
  <c r="D569" i="2"/>
  <c r="D512" i="2"/>
  <c r="D472" i="2"/>
  <c r="D630" i="2"/>
  <c r="D572" i="2"/>
  <c r="D508" i="2"/>
  <c r="D451" i="2"/>
  <c r="C615" i="2"/>
  <c r="C715" i="2"/>
  <c r="I604" i="2"/>
  <c r="I789" i="2"/>
  <c r="I797" i="2"/>
  <c r="I750" i="2"/>
  <c r="I773" i="2"/>
  <c r="I790" i="2"/>
  <c r="I798" i="2"/>
  <c r="I412" i="2"/>
  <c r="I413" i="2"/>
  <c r="I774" i="2"/>
  <c r="I781" i="2"/>
  <c r="I782" i="2"/>
  <c r="C735" i="2"/>
  <c r="D615" i="2"/>
  <c r="D519" i="2"/>
  <c r="C747" i="2"/>
  <c r="H729" i="2"/>
  <c r="D663" i="2"/>
  <c r="D775" i="2"/>
  <c r="C771" i="2"/>
  <c r="H757" i="2"/>
  <c r="D487" i="2"/>
  <c r="F790" i="2"/>
  <c r="D625" i="2"/>
  <c r="D678" i="2"/>
  <c r="D680" i="2"/>
  <c r="D682" i="2"/>
  <c r="D684" i="2"/>
  <c r="D426" i="2"/>
  <c r="D477" i="2"/>
  <c r="D485" i="2"/>
  <c r="D506" i="2"/>
  <c r="D509" i="2"/>
  <c r="D548" i="2"/>
  <c r="D636" i="2"/>
  <c r="D658" i="2"/>
  <c r="D661" i="2"/>
  <c r="D664" i="2"/>
  <c r="D666" i="2"/>
  <c r="D668" i="2"/>
  <c r="D670" i="2"/>
  <c r="D697" i="2"/>
  <c r="D648" i="2"/>
  <c r="D672" i="2"/>
  <c r="D685" i="2"/>
  <c r="D614" i="2"/>
  <c r="D669" i="2"/>
  <c r="D674" i="2"/>
  <c r="D701" i="2"/>
  <c r="D722" i="2"/>
  <c r="D724" i="2"/>
  <c r="D726" i="2"/>
  <c r="D673" i="2"/>
  <c r="D690" i="2"/>
  <c r="D709" i="2"/>
  <c r="D720" i="2"/>
  <c r="D750" i="2"/>
  <c r="D764" i="2"/>
  <c r="D677" i="2"/>
  <c r="D693" i="2"/>
  <c r="D696" i="2"/>
  <c r="D705" i="2"/>
  <c r="D718" i="2"/>
  <c r="D737" i="2"/>
  <c r="D753" i="2"/>
  <c r="D757" i="2"/>
  <c r="D432" i="2"/>
  <c r="D522" i="2"/>
  <c r="D553" i="2"/>
  <c r="D626" i="2"/>
  <c r="D637" i="2"/>
  <c r="D694" i="2"/>
  <c r="D710" i="2"/>
  <c r="D450" i="2"/>
  <c r="D689" i="2"/>
  <c r="D716" i="2"/>
  <c r="D736" i="2"/>
  <c r="D409" i="2"/>
  <c r="D702" i="2"/>
  <c r="D706" i="2"/>
  <c r="D713" i="2"/>
  <c r="D746" i="2"/>
  <c r="D749" i="2"/>
  <c r="D758" i="2"/>
  <c r="D761" i="2"/>
  <c r="D766" i="2"/>
  <c r="D765" i="2"/>
  <c r="D686" i="2"/>
  <c r="D717" i="2"/>
  <c r="D730" i="2"/>
  <c r="D740" i="2"/>
  <c r="D756" i="2"/>
  <c r="D774" i="2"/>
  <c r="D778" i="2"/>
  <c r="D782" i="2"/>
  <c r="D665" i="2"/>
  <c r="D681" i="2"/>
  <c r="D714" i="2"/>
  <c r="D721" i="2"/>
  <c r="D728" i="2"/>
  <c r="D734" i="2"/>
  <c r="D752" i="2"/>
  <c r="D754" i="2"/>
  <c r="D781" i="2"/>
  <c r="D538" i="2"/>
  <c r="D676" i="2"/>
  <c r="D692" i="2"/>
  <c r="D700" i="2"/>
  <c r="D725" i="2"/>
  <c r="D738" i="2"/>
  <c r="D741" i="2"/>
  <c r="D744" i="2"/>
  <c r="D762" i="2"/>
  <c r="D770" i="2"/>
  <c r="D773" i="2"/>
  <c r="D789" i="2"/>
  <c r="D798" i="2"/>
  <c r="D633" i="2"/>
  <c r="D688" i="2"/>
  <c r="D772" i="2"/>
  <c r="D634" i="2"/>
  <c r="D698" i="2"/>
  <c r="D712" i="2"/>
  <c r="D732" i="2"/>
  <c r="D742" i="2"/>
  <c r="D748" i="2"/>
  <c r="D760" i="2"/>
  <c r="D769" i="2"/>
  <c r="D776" i="2"/>
  <c r="D786" i="2"/>
  <c r="D796" i="2"/>
  <c r="D800" i="2"/>
  <c r="D411" i="2"/>
  <c r="D414" i="2"/>
  <c r="D733" i="2"/>
  <c r="D768" i="2"/>
  <c r="D785" i="2"/>
  <c r="D792" i="2"/>
  <c r="D784" i="2"/>
  <c r="D410" i="2"/>
  <c r="D790" i="2"/>
  <c r="D794" i="2"/>
  <c r="D612" i="2"/>
  <c r="D704" i="2"/>
  <c r="D777" i="2"/>
  <c r="D788" i="2"/>
  <c r="D650" i="2"/>
  <c r="D745" i="2"/>
  <c r="D793" i="2"/>
  <c r="D408" i="2"/>
  <c r="D780" i="2"/>
  <c r="D576" i="2"/>
  <c r="D729" i="2"/>
  <c r="D801" i="2"/>
  <c r="D413" i="2"/>
  <c r="D708" i="2"/>
  <c r="D797" i="2"/>
  <c r="D412" i="2"/>
  <c r="C659" i="2"/>
  <c r="C707" i="2"/>
  <c r="D659" i="2"/>
  <c r="D647" i="2"/>
  <c r="D495" i="2"/>
  <c r="D711" i="2"/>
  <c r="D779" i="2"/>
  <c r="J496" i="2"/>
  <c r="D715" i="2"/>
  <c r="D795" i="2"/>
  <c r="C424" i="2"/>
  <c r="C421" i="2"/>
  <c r="C428" i="2"/>
  <c r="C445" i="2"/>
  <c r="C457" i="2"/>
  <c r="C461" i="2"/>
  <c r="C465" i="2"/>
  <c r="C474" i="2"/>
  <c r="C486" i="2"/>
  <c r="C500" i="2"/>
  <c r="C504" i="2"/>
  <c r="C507" i="2"/>
  <c r="C510" i="2"/>
  <c r="C514" i="2"/>
  <c r="C517" i="2"/>
  <c r="C520" i="2"/>
  <c r="C523" i="2"/>
  <c r="C527" i="2"/>
  <c r="C531" i="2"/>
  <c r="C538" i="2"/>
  <c r="C549" i="2"/>
  <c r="C565" i="2"/>
  <c r="C586" i="2"/>
  <c r="C589" i="2"/>
  <c r="C596" i="2"/>
  <c r="C632" i="2"/>
  <c r="C637" i="2"/>
  <c r="C644" i="2"/>
  <c r="C662" i="2"/>
  <c r="C686" i="2"/>
  <c r="C688" i="2"/>
  <c r="C690" i="2"/>
  <c r="C692" i="2"/>
  <c r="C419" i="2"/>
  <c r="C443" i="2"/>
  <c r="C450" i="2"/>
  <c r="C455" i="2"/>
  <c r="C460" i="2"/>
  <c r="C464" i="2"/>
  <c r="C499" i="2"/>
  <c r="C503" i="2"/>
  <c r="C513" i="2"/>
  <c r="C526" i="2"/>
  <c r="C530" i="2"/>
  <c r="C537" i="2"/>
  <c r="C564" i="2"/>
  <c r="C568" i="2"/>
  <c r="C578" i="2"/>
  <c r="C585" i="2"/>
  <c r="C588" i="2"/>
  <c r="C634" i="2"/>
  <c r="C649" i="2"/>
  <c r="C672" i="2"/>
  <c r="C674" i="2"/>
  <c r="C676" i="2"/>
  <c r="C435" i="2"/>
  <c r="C454" i="2"/>
  <c r="C466" i="2"/>
  <c r="C478" i="2"/>
  <c r="C493" i="2"/>
  <c r="C497" i="2"/>
  <c r="C502" i="2"/>
  <c r="C511" i="2"/>
  <c r="C524" i="2"/>
  <c r="C529" i="2"/>
  <c r="C534" i="2"/>
  <c r="C561" i="2"/>
  <c r="C566" i="2"/>
  <c r="C580" i="2"/>
  <c r="C584" i="2"/>
  <c r="C603" i="2"/>
  <c r="C612" i="2"/>
  <c r="C624" i="2"/>
  <c r="C628" i="2"/>
  <c r="C640" i="2"/>
  <c r="C645" i="2"/>
  <c r="C652" i="2"/>
  <c r="C657" i="2"/>
  <c r="C680" i="2"/>
  <c r="C423" i="2"/>
  <c r="C444" i="2"/>
  <c r="C452" i="2"/>
  <c r="C482" i="2"/>
  <c r="C487" i="2"/>
  <c r="C496" i="2"/>
  <c r="C501" i="2"/>
  <c r="C528" i="2"/>
  <c r="C560" i="2"/>
  <c r="C574" i="2"/>
  <c r="C583" i="2"/>
  <c r="C592" i="2"/>
  <c r="C606" i="2"/>
  <c r="C656" i="2"/>
  <c r="C677" i="2"/>
  <c r="C682" i="2"/>
  <c r="C705" i="2"/>
  <c r="C728" i="2"/>
  <c r="C733" i="2"/>
  <c r="C415" i="2"/>
  <c r="C431" i="2"/>
  <c r="C441" i="2"/>
  <c r="C470" i="2"/>
  <c r="C479" i="2"/>
  <c r="C485" i="2"/>
  <c r="C491" i="2"/>
  <c r="C509" i="2"/>
  <c r="C516" i="2"/>
  <c r="C535" i="2"/>
  <c r="C540" i="2"/>
  <c r="C547" i="2"/>
  <c r="C559" i="2"/>
  <c r="C571" i="2"/>
  <c r="C595" i="2"/>
  <c r="C601" i="2"/>
  <c r="C608" i="2"/>
  <c r="C613" i="2"/>
  <c r="C618" i="2"/>
  <c r="C630" i="2"/>
  <c r="C635" i="2"/>
  <c r="C646" i="2"/>
  <c r="C666" i="2"/>
  <c r="B261" i="3" s="1"/>
  <c r="C670" i="2"/>
  <c r="C693" i="2"/>
  <c r="C696" i="2"/>
  <c r="C718" i="2"/>
  <c r="C737" i="2"/>
  <c r="C753" i="2"/>
  <c r="C757" i="2"/>
  <c r="C417" i="2"/>
  <c r="C432" i="2"/>
  <c r="C463" i="2"/>
  <c r="C471" i="2"/>
  <c r="C492" i="2"/>
  <c r="C498" i="2"/>
  <c r="C522" i="2"/>
  <c r="C541" i="2"/>
  <c r="C548" i="2"/>
  <c r="C553" i="2"/>
  <c r="C572" i="2"/>
  <c r="C577" i="2"/>
  <c r="C590" i="2"/>
  <c r="C602" i="2"/>
  <c r="C620" i="2"/>
  <c r="C625" i="2"/>
  <c r="C641" i="2"/>
  <c r="C684" i="2"/>
  <c r="C714" i="2"/>
  <c r="C716" i="2"/>
  <c r="C725" i="2"/>
  <c r="C729" i="2"/>
  <c r="C741" i="2"/>
  <c r="C745" i="2"/>
  <c r="C418" i="2"/>
  <c r="C447" i="2"/>
  <c r="C472" i="2"/>
  <c r="C480" i="2"/>
  <c r="C494" i="2"/>
  <c r="C505" i="2"/>
  <c r="C536" i="2"/>
  <c r="C542" i="2"/>
  <c r="C573" i="2"/>
  <c r="C609" i="2"/>
  <c r="C614" i="2"/>
  <c r="C422" i="2"/>
  <c r="C436" i="2"/>
  <c r="C449" i="2"/>
  <c r="C481" i="2"/>
  <c r="C488" i="2"/>
  <c r="C544" i="2"/>
  <c r="C555" i="2"/>
  <c r="C562" i="2"/>
  <c r="C598" i="2"/>
  <c r="C616" i="2"/>
  <c r="C633" i="2"/>
  <c r="C654" i="2"/>
  <c r="C665" i="2"/>
  <c r="C668" i="2"/>
  <c r="C697" i="2"/>
  <c r="C706" i="2"/>
  <c r="C708" i="2"/>
  <c r="C717" i="2"/>
  <c r="C738" i="2"/>
  <c r="C765" i="2"/>
  <c r="C425" i="2"/>
  <c r="C467" i="2"/>
  <c r="C483" i="2"/>
  <c r="C495" i="2"/>
  <c r="C519" i="2"/>
  <c r="C532" i="2"/>
  <c r="C545" i="2"/>
  <c r="C556" i="2"/>
  <c r="C581" i="2"/>
  <c r="C593" i="2"/>
  <c r="C627" i="2"/>
  <c r="C636" i="2"/>
  <c r="C685" i="2"/>
  <c r="C702" i="2"/>
  <c r="C709" i="2"/>
  <c r="C713" i="2"/>
  <c r="C749" i="2"/>
  <c r="C758" i="2"/>
  <c r="C774" i="2"/>
  <c r="C778" i="2"/>
  <c r="C782" i="2"/>
  <c r="C789" i="2"/>
  <c r="C701" i="2"/>
  <c r="C426" i="2"/>
  <c r="C468" i="2"/>
  <c r="C484" i="2"/>
  <c r="C508" i="2"/>
  <c r="C546" i="2"/>
  <c r="C557" i="2"/>
  <c r="C569" i="2"/>
  <c r="C594" i="2"/>
  <c r="C605" i="2"/>
  <c r="C617" i="2"/>
  <c r="C629" i="2"/>
  <c r="C669" i="2"/>
  <c r="C720" i="2"/>
  <c r="C730" i="2"/>
  <c r="C740" i="2"/>
  <c r="C756" i="2"/>
  <c r="C764" i="2"/>
  <c r="C794" i="2"/>
  <c r="C798" i="2"/>
  <c r="C650" i="2"/>
  <c r="C469" i="2"/>
  <c r="C521" i="2"/>
  <c r="C533" i="2"/>
  <c r="C558" i="2"/>
  <c r="C570" i="2"/>
  <c r="C582" i="2"/>
  <c r="C607" i="2"/>
  <c r="C655" i="2"/>
  <c r="C664" i="2"/>
  <c r="C681" i="2"/>
  <c r="C710" i="2"/>
  <c r="C721" i="2"/>
  <c r="C724" i="2"/>
  <c r="C734" i="2"/>
  <c r="C752" i="2"/>
  <c r="C754" i="2"/>
  <c r="C781" i="2"/>
  <c r="C790" i="2"/>
  <c r="C409" i="2"/>
  <c r="C551" i="2"/>
  <c r="C434" i="2"/>
  <c r="C458" i="2"/>
  <c r="C473" i="2"/>
  <c r="C512" i="2"/>
  <c r="C550" i="2"/>
  <c r="C597" i="2"/>
  <c r="C610" i="2"/>
  <c r="C621" i="2"/>
  <c r="C631" i="2"/>
  <c r="C638" i="2"/>
  <c r="C648" i="2"/>
  <c r="C671" i="2"/>
  <c r="C700" i="2"/>
  <c r="C744" i="2"/>
  <c r="C762" i="2"/>
  <c r="C770" i="2"/>
  <c r="C773" i="2"/>
  <c r="C539" i="2"/>
  <c r="C683" i="2"/>
  <c r="C437" i="2"/>
  <c r="C459" i="2"/>
  <c r="C475" i="2"/>
  <c r="C489" i="2"/>
  <c r="C525" i="2"/>
  <c r="C599" i="2"/>
  <c r="C622" i="2"/>
  <c r="C639" i="2"/>
  <c r="C658" i="2"/>
  <c r="C704" i="2"/>
  <c r="C750" i="2"/>
  <c r="C772" i="2"/>
  <c r="C777" i="2"/>
  <c r="C780" i="2"/>
  <c r="C788" i="2"/>
  <c r="C797" i="2"/>
  <c r="C801" i="2"/>
  <c r="C438" i="2"/>
  <c r="C476" i="2"/>
  <c r="C587" i="2"/>
  <c r="C600" i="2"/>
  <c r="C623" i="2"/>
  <c r="C420" i="2"/>
  <c r="C506" i="2"/>
  <c r="C518" i="2"/>
  <c r="C543" i="2"/>
  <c r="C554" i="2"/>
  <c r="C567" i="2"/>
  <c r="C591" i="2"/>
  <c r="C604" i="2"/>
  <c r="C626" i="2"/>
  <c r="C653" i="2"/>
  <c r="C661" i="2"/>
  <c r="C673" i="2"/>
  <c r="C689" i="2"/>
  <c r="C694" i="2"/>
  <c r="C736" i="2"/>
  <c r="C768" i="2"/>
  <c r="C785" i="2"/>
  <c r="C792" i="2"/>
  <c r="C746" i="2"/>
  <c r="C761" i="2"/>
  <c r="C766" i="2"/>
  <c r="C784" i="2"/>
  <c r="C410" i="2"/>
  <c r="C490" i="2"/>
  <c r="C576" i="2"/>
  <c r="C786" i="2"/>
  <c r="C760" i="2"/>
  <c r="C408" i="2"/>
  <c r="C552" i="2"/>
  <c r="C698" i="2"/>
  <c r="C776" i="2"/>
  <c r="C515" i="2"/>
  <c r="C678" i="2"/>
  <c r="C712" i="2"/>
  <c r="C414" i="2"/>
  <c r="C742" i="2"/>
  <c r="C748" i="2"/>
  <c r="C719" i="2"/>
  <c r="C411" i="2"/>
  <c r="C440" i="2"/>
  <c r="C563" i="2"/>
  <c r="C800" i="2"/>
  <c r="C722" i="2"/>
  <c r="C477" i="2"/>
  <c r="C660" i="2"/>
  <c r="C413" i="2"/>
  <c r="C732" i="2"/>
  <c r="C755" i="2"/>
  <c r="C796" i="2"/>
  <c r="C787" i="2"/>
  <c r="C763" i="2"/>
  <c r="C793" i="2"/>
  <c r="C642" i="2"/>
  <c r="C412" i="2"/>
  <c r="C462" i="2"/>
  <c r="C726" i="2"/>
  <c r="C769" i="2"/>
  <c r="C643" i="2"/>
  <c r="C663" i="2"/>
  <c r="C687" i="2"/>
  <c r="D587" i="2"/>
  <c r="D759" i="2"/>
  <c r="C791" i="2"/>
  <c r="D719" i="2"/>
  <c r="D783" i="2"/>
  <c r="C795" i="2"/>
  <c r="H793" i="2"/>
  <c r="C767" i="2"/>
  <c r="J504" i="2"/>
  <c r="D727" i="2"/>
  <c r="J784" i="2"/>
  <c r="D454" i="2"/>
  <c r="D608" i="2"/>
  <c r="D544" i="2"/>
  <c r="D486" i="2"/>
  <c r="D425" i="2"/>
  <c r="C575" i="2"/>
  <c r="C667" i="2"/>
  <c r="C727" i="2"/>
  <c r="D731" i="2"/>
  <c r="C691" i="2"/>
  <c r="D739" i="2"/>
  <c r="D799" i="2"/>
  <c r="D507" i="2"/>
  <c r="D575" i="2"/>
  <c r="D735" i="2"/>
  <c r="D683" i="2"/>
  <c r="D642" i="2"/>
  <c r="D586" i="2"/>
  <c r="D526" i="2"/>
  <c r="D458" i="2"/>
  <c r="D620" i="2"/>
  <c r="D545" i="2"/>
  <c r="D489" i="2"/>
  <c r="D662" i="2"/>
  <c r="D601" i="2"/>
  <c r="D536" i="2"/>
  <c r="D494" i="2"/>
  <c r="D621" i="2"/>
  <c r="D552" i="2"/>
  <c r="D652" i="2"/>
  <c r="D599" i="2"/>
  <c r="D541" i="2"/>
  <c r="D490" i="2"/>
  <c r="D446" i="2"/>
  <c r="D602" i="2"/>
  <c r="D539" i="2"/>
  <c r="D478" i="2"/>
  <c r="E556" i="2"/>
  <c r="E693" i="2"/>
  <c r="E677" i="2"/>
  <c r="E707" i="2"/>
  <c r="E685" i="2"/>
  <c r="E411" i="2"/>
  <c r="E768" i="2"/>
  <c r="E735" i="2"/>
  <c r="E729" i="2"/>
  <c r="E413" i="2"/>
  <c r="E715" i="2"/>
  <c r="E765" i="2"/>
  <c r="E772" i="2"/>
  <c r="E797" i="2"/>
  <c r="C647" i="2"/>
  <c r="F603" i="2"/>
  <c r="F612" i="2"/>
  <c r="F551" i="2"/>
  <c r="F635" i="2"/>
  <c r="F699" i="2"/>
  <c r="F591" i="2"/>
  <c r="F621" i="2"/>
  <c r="F776" i="2"/>
  <c r="F410" i="2"/>
  <c r="F783" i="2"/>
  <c r="F773" i="2"/>
  <c r="F792" i="2"/>
  <c r="F411" i="2"/>
  <c r="F791" i="2"/>
  <c r="F764" i="2"/>
  <c r="F768" i="2"/>
  <c r="F775" i="2"/>
  <c r="F784" i="2"/>
  <c r="F560" i="2"/>
  <c r="F409" i="2"/>
  <c r="F767" i="2"/>
  <c r="F772" i="2"/>
  <c r="F787" i="2"/>
  <c r="F412" i="2"/>
  <c r="F408" i="2"/>
  <c r="F796" i="2"/>
  <c r="F800" i="2"/>
  <c r="F413" i="2"/>
  <c r="F414" i="2"/>
  <c r="F785" i="2"/>
  <c r="F795" i="2"/>
  <c r="F788" i="2"/>
  <c r="F780" i="2"/>
  <c r="F801" i="2"/>
  <c r="F789" i="2"/>
  <c r="C731" i="2"/>
  <c r="C759" i="2"/>
  <c r="D767" i="2"/>
  <c r="F782" i="2"/>
  <c r="J532" i="2"/>
  <c r="D675" i="2"/>
  <c r="H777" i="2"/>
  <c r="C695" i="2"/>
  <c r="D743" i="2"/>
  <c r="C679" i="2"/>
  <c r="D551" i="2"/>
  <c r="C775" i="2"/>
  <c r="D651" i="2"/>
  <c r="D747" i="2"/>
  <c r="D787" i="2"/>
  <c r="D46" i="9" l="1"/>
  <c r="E46" i="9" s="1"/>
  <c r="D23" i="9"/>
  <c r="E23" i="9" s="1"/>
  <c r="B25" i="3"/>
  <c r="B22" i="3"/>
  <c r="B294" i="3"/>
  <c r="D20" i="9"/>
  <c r="E20" i="9" s="1"/>
  <c r="B24" i="3"/>
  <c r="B334" i="3"/>
  <c r="B34" i="3"/>
  <c r="B298" i="3"/>
  <c r="D21" i="9"/>
  <c r="E21" i="9" s="1"/>
  <c r="D2" i="8"/>
  <c r="B214" i="3"/>
  <c r="D5" i="8"/>
  <c r="D8" i="8"/>
  <c r="D9" i="8"/>
  <c r="D25" i="9"/>
  <c r="E25" i="9" s="1"/>
  <c r="D6" i="8"/>
  <c r="D51" i="9"/>
  <c r="E51" i="9" s="1"/>
  <c r="D50" i="9"/>
  <c r="E50" i="9" s="1"/>
  <c r="B48" i="3"/>
  <c r="D47" i="9"/>
  <c r="E47" i="9" s="1"/>
  <c r="B378" i="3"/>
  <c r="D17" i="9"/>
  <c r="E17" i="9" s="1"/>
  <c r="D49" i="9"/>
  <c r="E49" i="9" s="1"/>
  <c r="B270" i="3"/>
  <c r="B28" i="3"/>
  <c r="D54" i="9"/>
  <c r="E54" i="9" s="1"/>
  <c r="D53" i="9"/>
  <c r="E53" i="9" s="1"/>
  <c r="E35" i="7"/>
  <c r="D7" i="8"/>
  <c r="D3" i="8"/>
  <c r="D11" i="8"/>
  <c r="D45" i="9"/>
  <c r="E45" i="9" s="1"/>
  <c r="D19" i="9"/>
  <c r="E19" i="9" s="1"/>
  <c r="D52" i="9"/>
  <c r="E52" i="9" s="1"/>
  <c r="D48" i="9"/>
  <c r="E48" i="9" s="1"/>
  <c r="D4" i="8"/>
  <c r="B51" i="3"/>
  <c r="B306" i="3"/>
  <c r="B363" i="3"/>
  <c r="B183" i="3"/>
  <c r="B190" i="3"/>
  <c r="B168" i="3"/>
  <c r="B392" i="3"/>
  <c r="B337" i="3"/>
  <c r="B267" i="3"/>
  <c r="B75" i="3"/>
  <c r="B142" i="3"/>
  <c r="B374" i="3"/>
  <c r="B357" i="3"/>
  <c r="B229" i="3"/>
  <c r="B141" i="3"/>
  <c r="B10" i="3"/>
  <c r="B19" i="3"/>
  <c r="B351" i="3"/>
  <c r="B245" i="3"/>
  <c r="B73" i="3"/>
  <c r="B146" i="3"/>
  <c r="B271" i="3"/>
  <c r="B64" i="3"/>
  <c r="B83" i="3"/>
  <c r="B324" i="3"/>
  <c r="B172" i="3"/>
  <c r="B278" i="3"/>
  <c r="B203" i="3"/>
  <c r="B272" i="3"/>
  <c r="B389" i="3"/>
  <c r="B198" i="3"/>
  <c r="B116" i="3"/>
  <c r="B280" i="3"/>
  <c r="B315" i="3"/>
  <c r="B296" i="3"/>
  <c r="B276" i="3"/>
  <c r="B365" i="3"/>
  <c r="B39" i="3"/>
  <c r="B375" i="3"/>
  <c r="B372" i="3"/>
  <c r="B209" i="3"/>
  <c r="B327" i="3"/>
  <c r="B320" i="3"/>
  <c r="B362" i="3"/>
  <c r="B218" i="3"/>
  <c r="B99" i="3"/>
  <c r="B140" i="3"/>
  <c r="B299" i="3"/>
  <c r="B115" i="3"/>
  <c r="B158" i="3"/>
  <c r="B9" i="3"/>
  <c r="B137" i="3"/>
  <c r="B8" i="3"/>
  <c r="B211" i="3"/>
  <c r="B31" i="3"/>
  <c r="B110" i="3"/>
  <c r="B330" i="3"/>
  <c r="B313" i="3"/>
  <c r="B121" i="3"/>
  <c r="B317" i="3"/>
  <c r="B54" i="3"/>
  <c r="B67" i="3"/>
  <c r="B6" i="3"/>
  <c r="B125" i="3"/>
  <c r="B286" i="3"/>
  <c r="B186" i="3"/>
  <c r="B359" i="3"/>
  <c r="B108" i="3"/>
  <c r="B323" i="3"/>
  <c r="B309" i="3"/>
  <c r="B244" i="3"/>
  <c r="B346" i="3"/>
  <c r="B287" i="3"/>
  <c r="B361" i="3"/>
  <c r="B393" i="3"/>
  <c r="B242" i="3"/>
  <c r="B131" i="3"/>
  <c r="B228" i="3"/>
  <c r="B82" i="3"/>
  <c r="B44" i="3"/>
  <c r="B86" i="3"/>
  <c r="B396" i="3"/>
  <c r="B185" i="3"/>
  <c r="B74" i="3"/>
  <c r="B123" i="3"/>
  <c r="B264" i="3"/>
  <c r="B269" i="3"/>
  <c r="B135" i="3"/>
  <c r="B161" i="3"/>
  <c r="B247" i="3"/>
  <c r="B356" i="3"/>
  <c r="B156" i="3"/>
  <c r="B262" i="3"/>
  <c r="B171" i="3"/>
  <c r="B300" i="3"/>
  <c r="B132" i="3"/>
  <c r="B239" i="3"/>
  <c r="B126" i="3"/>
  <c r="B350" i="3"/>
  <c r="B193" i="3"/>
  <c r="B84" i="3"/>
  <c r="B147" i="3"/>
  <c r="B382" i="3"/>
  <c r="B78" i="3"/>
  <c r="B93" i="3"/>
  <c r="B377" i="3"/>
  <c r="B353" i="3"/>
  <c r="B98" i="3"/>
  <c r="B163" i="3"/>
  <c r="B16" i="3"/>
  <c r="B233" i="3"/>
  <c r="B230" i="3"/>
  <c r="B111" i="3"/>
  <c r="B196" i="3"/>
  <c r="B381" i="3"/>
  <c r="B27" i="3"/>
  <c r="B367" i="3"/>
  <c r="B358" i="3"/>
  <c r="B289" i="3"/>
  <c r="B176" i="3"/>
  <c r="B282" i="3"/>
  <c r="B219" i="3"/>
  <c r="B385" i="3"/>
  <c r="B166" i="3"/>
  <c r="B124" i="3"/>
  <c r="B258" i="3"/>
  <c r="B316" i="3"/>
  <c r="B49" i="3"/>
  <c r="B118" i="3"/>
  <c r="B207" i="3"/>
  <c r="B40" i="3"/>
  <c r="B153" i="3"/>
  <c r="B311" i="3"/>
  <c r="B344" i="3"/>
  <c r="B129" i="3"/>
  <c r="B204" i="3"/>
  <c r="B310" i="3"/>
  <c r="B251" i="3"/>
  <c r="B97" i="3"/>
  <c r="B100" i="3"/>
  <c r="B179" i="3"/>
  <c r="B15" i="3"/>
  <c r="B94" i="3"/>
  <c r="B109" i="3"/>
  <c r="B345" i="3"/>
  <c r="B52" i="3"/>
  <c r="B91" i="3"/>
  <c r="B61" i="3"/>
  <c r="B325" i="3"/>
  <c r="B277" i="3"/>
  <c r="B69" i="3"/>
  <c r="B138" i="3"/>
  <c r="B263" i="3"/>
  <c r="B60" i="3"/>
  <c r="B329" i="3"/>
  <c r="B164" i="3"/>
  <c r="B274" i="3"/>
  <c r="B195" i="3"/>
  <c r="B383" i="3"/>
  <c r="B165" i="3"/>
  <c r="B281" i="3"/>
  <c r="B66" i="3"/>
  <c r="B95" i="3"/>
  <c r="B224" i="3"/>
  <c r="B130" i="3"/>
  <c r="B265" i="3"/>
  <c r="B260" i="3"/>
  <c r="B354" i="3"/>
  <c r="B291" i="3"/>
  <c r="B304" i="3"/>
  <c r="B250" i="3"/>
  <c r="B380" i="3"/>
  <c r="B302" i="3"/>
  <c r="B117" i="3"/>
  <c r="B89" i="3"/>
  <c r="B162" i="3"/>
  <c r="B303" i="3"/>
  <c r="B80" i="3"/>
  <c r="B342" i="3"/>
  <c r="B79" i="3"/>
  <c r="B57" i="3"/>
  <c r="B128" i="3"/>
  <c r="B173" i="3"/>
  <c r="B308" i="3"/>
  <c r="B288" i="3"/>
  <c r="B343" i="3"/>
  <c r="B68" i="3"/>
  <c r="B119" i="3"/>
  <c r="B326" i="3"/>
  <c r="B62" i="3"/>
  <c r="B77" i="3"/>
  <c r="B201" i="3"/>
  <c r="B20" i="3"/>
  <c r="B347" i="3"/>
  <c r="B14" i="3"/>
  <c r="B29" i="3"/>
  <c r="B157" i="3"/>
  <c r="B189" i="3"/>
  <c r="B113" i="3"/>
  <c r="B182" i="3"/>
  <c r="B339" i="3"/>
  <c r="B104" i="3"/>
  <c r="B341" i="3"/>
  <c r="B232" i="3"/>
  <c r="B318" i="3"/>
  <c r="B279" i="3"/>
  <c r="B336" i="3"/>
  <c r="B332" i="3"/>
  <c r="B106" i="3"/>
  <c r="B191" i="3"/>
  <c r="B143" i="3"/>
  <c r="B376" i="3"/>
  <c r="B26" i="3"/>
  <c r="B35" i="3"/>
  <c r="B371" i="3"/>
  <c r="B225" i="3"/>
  <c r="B390" i="3"/>
  <c r="B253" i="3"/>
  <c r="B235" i="3"/>
  <c r="B368" i="3"/>
  <c r="B202" i="3"/>
  <c r="B71" i="3"/>
  <c r="B120" i="3"/>
  <c r="B192" i="3"/>
  <c r="B231" i="3"/>
  <c r="B148" i="3"/>
  <c r="B293" i="3"/>
  <c r="B333" i="3"/>
  <c r="B50" i="3"/>
  <c r="B63" i="3"/>
  <c r="B391" i="3"/>
  <c r="B36" i="3"/>
  <c r="B55" i="3"/>
  <c r="B290" i="3"/>
  <c r="B30" i="3"/>
  <c r="B45" i="3"/>
  <c r="B373" i="3"/>
  <c r="B236" i="3"/>
  <c r="B283" i="3"/>
  <c r="B238" i="3"/>
  <c r="B248" i="3"/>
  <c r="B249" i="3"/>
  <c r="B181" i="3"/>
  <c r="B297" i="3"/>
  <c r="B366" i="3"/>
  <c r="B226" i="3"/>
  <c r="B107" i="3"/>
  <c r="B184" i="3"/>
  <c r="B4" i="3"/>
  <c r="B18" i="3"/>
  <c r="B23" i="3"/>
  <c r="B355" i="3"/>
  <c r="B200" i="3"/>
  <c r="B213" i="3"/>
  <c r="B81" i="3"/>
  <c r="B150" i="3"/>
  <c r="B275" i="3"/>
  <c r="B72" i="3"/>
  <c r="B133" i="3"/>
  <c r="B217" i="3"/>
  <c r="B70" i="3"/>
  <c r="B103" i="3"/>
  <c r="B252" i="3"/>
  <c r="B349" i="3"/>
  <c r="B47" i="3"/>
  <c r="B237" i="3"/>
  <c r="B167" i="3"/>
  <c r="B388" i="3"/>
  <c r="B136" i="3"/>
  <c r="B139" i="3"/>
  <c r="B240" i="3"/>
  <c r="B38" i="3"/>
  <c r="B88" i="3"/>
  <c r="B42" i="3"/>
  <c r="B364" i="3"/>
  <c r="B21" i="3"/>
  <c r="B90" i="3"/>
  <c r="B155" i="3"/>
  <c r="B12" i="3"/>
  <c r="B292" i="3"/>
  <c r="B319" i="3"/>
  <c r="B254" i="3"/>
  <c r="B284" i="3"/>
  <c r="B13" i="3"/>
  <c r="B285" i="3"/>
  <c r="B379" i="3"/>
  <c r="B215" i="3"/>
  <c r="B188" i="3"/>
  <c r="B360" i="3"/>
  <c r="B273" i="3"/>
  <c r="B340" i="3"/>
  <c r="B160" i="3"/>
  <c r="B266" i="3"/>
  <c r="B187" i="3"/>
  <c r="B197" i="3"/>
  <c r="B312" i="3"/>
  <c r="B58" i="3"/>
  <c r="B87" i="3"/>
  <c r="B208" i="3"/>
  <c r="B170" i="3"/>
  <c r="B7" i="3"/>
  <c r="B322" i="3"/>
  <c r="B194" i="3"/>
  <c r="B112" i="3"/>
  <c r="B321" i="3"/>
  <c r="B114" i="3"/>
  <c r="B199" i="3"/>
  <c r="B32" i="3"/>
  <c r="B53" i="3"/>
  <c r="B223" i="3"/>
  <c r="B17" i="3"/>
  <c r="B387" i="3"/>
  <c r="B257" i="3"/>
  <c r="B180" i="3"/>
  <c r="B227" i="3"/>
  <c r="B241" i="3"/>
  <c r="B122" i="3"/>
  <c r="B256" i="3"/>
  <c r="B177" i="3"/>
  <c r="B65" i="3"/>
  <c r="B134" i="3"/>
  <c r="B243" i="3"/>
  <c r="B56" i="3"/>
  <c r="B395" i="3"/>
  <c r="B255" i="3"/>
  <c r="B222" i="3"/>
  <c r="B212" i="3"/>
  <c r="B328" i="3"/>
  <c r="B145" i="3"/>
  <c r="B335" i="3"/>
  <c r="B151" i="3"/>
  <c r="B152" i="3"/>
  <c r="B205" i="3"/>
  <c r="B369" i="3"/>
  <c r="B384" i="3"/>
  <c r="B220" i="3"/>
  <c r="B314" i="3"/>
  <c r="B259" i="3"/>
  <c r="B348" i="3"/>
  <c r="B33" i="3"/>
  <c r="B102" i="3"/>
  <c r="B175" i="3"/>
  <c r="B59" i="3"/>
  <c r="B169" i="3"/>
  <c r="B386" i="3"/>
  <c r="B234" i="3"/>
  <c r="B127" i="3"/>
  <c r="B216" i="3"/>
  <c r="B149" i="3"/>
  <c r="B85" i="3"/>
  <c r="B154" i="3"/>
  <c r="B295" i="3"/>
  <c r="B76" i="3"/>
  <c r="B144" i="3"/>
  <c r="B159" i="3"/>
  <c r="B101" i="3"/>
  <c r="B92" i="3"/>
  <c r="B301" i="3"/>
  <c r="B268" i="3"/>
  <c r="B370" i="3"/>
  <c r="B307" i="3"/>
  <c r="B352" i="3"/>
  <c r="B210" i="3"/>
  <c r="B305" i="3"/>
  <c r="B5" i="3"/>
  <c r="B221" i="3"/>
  <c r="B105" i="3"/>
  <c r="B178" i="3"/>
  <c r="B331" i="3"/>
  <c r="B96" i="3"/>
  <c r="C398" i="3"/>
  <c r="B3" i="3"/>
  <c r="E56" i="9" l="1"/>
  <c r="B39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Meier</author>
  </authors>
  <commentList>
    <comment ref="L3" authorId="0" shapeId="0" xr:uid="{33A12F03-E4D1-4A43-BF80-2FDC0D3B46AC}">
      <text>
        <r>
          <rPr>
            <b/>
            <sz val="9"/>
            <color indexed="81"/>
            <rFont val="Segoe UI"/>
            <family val="2"/>
          </rPr>
          <t>Raphael Meier:</t>
        </r>
        <r>
          <rPr>
            <sz val="9"/>
            <color indexed="81"/>
            <rFont val="Segoe UI"/>
            <family val="2"/>
          </rPr>
          <t xml:space="preserve">
Angelehnt an Berechnung aus https://www.youtube.com/watch?v=l73_C3PKWX4</t>
        </r>
      </text>
    </comment>
    <comment ref="M3" authorId="0" shapeId="0" xr:uid="{0B064F9F-21E6-4F5F-90A0-310B62EA874B}">
      <text>
        <r>
          <rPr>
            <b/>
            <sz val="9"/>
            <color indexed="81"/>
            <rFont val="Segoe UI"/>
            <family val="2"/>
          </rPr>
          <t>Raphael Meier:</t>
        </r>
        <r>
          <rPr>
            <sz val="9"/>
            <color indexed="81"/>
            <rFont val="Segoe UI"/>
            <family val="2"/>
          </rPr>
          <t xml:space="preserve">
Alternative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<sst xmlns="http://schemas.openxmlformats.org/spreadsheetml/2006/main" count="433" uniqueCount="61">
  <si>
    <t>Date</t>
  </si>
  <si>
    <t>BA</t>
  </si>
  <si>
    <t>KO</t>
  </si>
  <si>
    <t>MSFT</t>
  </si>
  <si>
    <t>NFLX</t>
  </si>
  <si>
    <t>NKE</t>
  </si>
  <si>
    <t>NVDA</t>
  </si>
  <si>
    <t>PEP</t>
  </si>
  <si>
    <t>SBUX</t>
  </si>
  <si>
    <t>TSLA</t>
  </si>
  <si>
    <t>WTW</t>
  </si>
  <si>
    <t>Mittelwert</t>
  </si>
  <si>
    <t>Summe</t>
  </si>
  <si>
    <t>SUMME</t>
  </si>
  <si>
    <t>BAKO Manuell</t>
  </si>
  <si>
    <t>BAKO Excel-Formel</t>
  </si>
  <si>
    <t>Rendite bei Equally Weighted</t>
  </si>
  <si>
    <t>Gewichte</t>
  </si>
  <si>
    <t>Portfolio-Varianz:</t>
  </si>
  <si>
    <t>Das gilt es zu optimieren</t>
  </si>
  <si>
    <t>Nebenbedingung</t>
  </si>
  <si>
    <t>Solver-Lösung aus Excel</t>
  </si>
  <si>
    <t>Python-Lösung</t>
  </si>
  <si>
    <t>Excel-Solver</t>
  </si>
  <si>
    <t>Python</t>
  </si>
  <si>
    <t>Portfolio-Volatiltät</t>
  </si>
  <si>
    <t>Standardabweichung</t>
  </si>
  <si>
    <t>Gewichtete Standardabweichung</t>
  </si>
  <si>
    <t>Diversification Ratio</t>
  </si>
  <si>
    <t>Das gilt es zu maximieren</t>
  </si>
  <si>
    <t>Ticker</t>
  </si>
  <si>
    <t>Diagonale/Varianzen</t>
  </si>
  <si>
    <t>Standardabweichungen</t>
  </si>
  <si>
    <t>Gewichtete Standardabweichungen</t>
  </si>
  <si>
    <t>1/Std</t>
  </si>
  <si>
    <t>Portfolio-Varianz</t>
  </si>
  <si>
    <t>Portfolio-Volatilität</t>
  </si>
  <si>
    <t>Risikobeitrag</t>
  </si>
  <si>
    <t>Minimum</t>
  </si>
  <si>
    <t>KOPEP</t>
  </si>
  <si>
    <t>MSFTNVDA</t>
  </si>
  <si>
    <t>MSFTNVDANFLX</t>
  </si>
  <si>
    <t>NKESBUX</t>
  </si>
  <si>
    <t>TSLAMSFTNVDANFLX</t>
  </si>
  <si>
    <t>WTWKOPEP</t>
  </si>
  <si>
    <t>BATSLAMSFTNVDANFLX</t>
  </si>
  <si>
    <t>NKESBUXBATSLAMSFTNVDANFLX</t>
  </si>
  <si>
    <t>Varianz der Anlage</t>
  </si>
  <si>
    <t>Summe Kovarianzen</t>
  </si>
  <si>
    <t>Marginal Risk Contribution</t>
  </si>
  <si>
    <t>Total Risk Contribution</t>
  </si>
  <si>
    <t>Summe w</t>
  </si>
  <si>
    <t>Durchschnitt:</t>
  </si>
  <si>
    <t>Lösung Implementierung Python</t>
  </si>
  <si>
    <t>Mean</t>
  </si>
  <si>
    <t>Start-Div-Ratio in Python</t>
  </si>
  <si>
    <t>End-Div-Ratio in Python, bis auf die sechste Nachkommastelle identisch</t>
  </si>
  <si>
    <t>Python Gewichte</t>
  </si>
  <si>
    <t>Zielfunktion</t>
  </si>
  <si>
    <t>Python MRC</t>
  </si>
  <si>
    <t>Python TRC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</si>
</sst>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"/>
    <numFmt numFmtId="165" formatCode="0.000000%"/>
    <numFmt numFmtId="166" formatCode="0.000000000"/>
    <numFmt numFmtId="167" formatCode="0.0000000000"/>
    <numFmt numFmtId="168" formatCode="0.0000000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rial Unicode MS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0" fontId="0" fillId="33" borderId="0" xfId="0" applyFill="1"/>
    <xf numFmtId="166" fontId="0" fillId="33" borderId="0" xfId="0" applyNumberFormat="1" applyFill="1"/>
    <xf numFmtId="0" fontId="16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166" fontId="0" fillId="0" borderId="0" xfId="0" applyNumberFormat="1"/>
    <xf numFmtId="0" fontId="16" fillId="34" borderId="0" xfId="0" applyFont="1" applyFill="1"/>
    <xf numFmtId="167" fontId="0" fillId="0" borderId="0" xfId="0" applyNumberFormat="1"/>
    <xf numFmtId="0" fontId="0" fillId="33" borderId="11" xfId="0" applyFill="1" applyBorder="1"/>
    <xf numFmtId="0" fontId="14" fillId="0" borderId="0" xfId="0" applyFont="1"/>
    <xf numFmtId="0" fontId="0" fillId="0" borderId="11" xfId="0" applyBorder="1"/>
    <xf numFmtId="167" fontId="0" fillId="33" borderId="0" xfId="0" applyNumberFormat="1" applyFill="1"/>
    <xf numFmtId="0" fontId="0" fillId="35" borderId="0" xfId="0" applyFill="1"/>
    <xf numFmtId="167" fontId="0" fillId="35" borderId="0" xfId="0" applyNumberFormat="1" applyFill="1"/>
    <xf numFmtId="0" fontId="16" fillId="0" borderId="0" xfId="0" applyFont="1"/>
    <xf numFmtId="167" fontId="18" fillId="35" borderId="0" xfId="0" applyNumberFormat="1" applyFont="1" applyFill="1" applyAlignment="1">
      <alignment vertical="center"/>
    </xf>
    <xf numFmtId="166" fontId="0" fillId="35" borderId="0" xfId="0" applyNumberFormat="1" applyFill="1"/>
    <xf numFmtId="168" fontId="0" fillId="35" borderId="0" xfId="0" applyNumberFormat="1" applyFill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1</xdr:row>
      <xdr:rowOff>114300</xdr:rowOff>
    </xdr:from>
    <xdr:to>
      <xdr:col>6</xdr:col>
      <xdr:colOff>676275</xdr:colOff>
      <xdr:row>1</xdr:row>
      <xdr:rowOff>114300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1F8EF14-9C6E-D59D-1579-108DF0ED6CA8}"/>
            </a:ext>
          </a:extLst>
        </xdr:cNvPr>
        <xdr:cNvCxnSpPr/>
      </xdr:nvCxnSpPr>
      <xdr:spPr>
        <a:xfrm flipH="1">
          <a:off x="4305300" y="304800"/>
          <a:ext cx="129540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104775</xdr:rowOff>
    </xdr:from>
    <xdr:to>
      <xdr:col>7</xdr:col>
      <xdr:colOff>657225</xdr:colOff>
      <xdr:row>10</xdr:row>
      <xdr:rowOff>104775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C80B41B4-4FBE-D98D-9CD1-7220D3A9310B}"/>
            </a:ext>
          </a:extLst>
        </xdr:cNvPr>
        <xdr:cNvCxnSpPr/>
      </xdr:nvCxnSpPr>
      <xdr:spPr>
        <a:xfrm flipH="1">
          <a:off x="5743575" y="2009775"/>
          <a:ext cx="205740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238D5-60EE-43E4-9252-79F666911BAE}">
  <sheetPr codeName="Tabelle1"/>
  <dimension ref="A1:K396"/>
  <sheetViews>
    <sheetView workbookViewId="0">
      <selection sqref="A1:A1048576"/>
    </sheetView>
  </sheetViews>
  <sheetFormatPr baseColWidth="10" defaultRowHeight="15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s="1">
        <v>45293</v>
      </c>
      <c r="B2">
        <v>251.759994506835</v>
      </c>
      <c r="C2">
        <v>57.215122222900298</v>
      </c>
      <c r="D2">
        <v>366.70739746093699</v>
      </c>
      <c r="E2">
        <v>468.5</v>
      </c>
      <c r="F2">
        <v>103.537506103515</v>
      </c>
      <c r="G2">
        <v>48.146572113037102</v>
      </c>
      <c r="H2">
        <v>164.27384948730401</v>
      </c>
      <c r="I2">
        <v>90.161376953125</v>
      </c>
      <c r="J2">
        <v>248.419998168945</v>
      </c>
      <c r="K2">
        <v>235.63816833496</v>
      </c>
    </row>
    <row r="3" spans="1:11">
      <c r="A3" s="1">
        <v>45294</v>
      </c>
      <c r="B3">
        <v>243.91000366210901</v>
      </c>
      <c r="C3">
        <v>57.349025726318303</v>
      </c>
      <c r="D3">
        <v>366.4404296875</v>
      </c>
      <c r="E3">
        <v>470.260009765625</v>
      </c>
      <c r="F3">
        <v>101.098457336425</v>
      </c>
      <c r="G3">
        <v>47.547836303710902</v>
      </c>
      <c r="H3">
        <v>164.31184387207</v>
      </c>
      <c r="I3">
        <v>89.737876892089801</v>
      </c>
      <c r="J3">
        <v>238.44999694824199</v>
      </c>
      <c r="K3">
        <v>236.30595397949199</v>
      </c>
    </row>
    <row r="4" spans="1:11">
      <c r="A4" s="1">
        <v>45295</v>
      </c>
      <c r="B4">
        <v>244.94000244140599</v>
      </c>
      <c r="C4">
        <v>57.157737731933501</v>
      </c>
      <c r="D4">
        <v>363.81024169921801</v>
      </c>
      <c r="E4">
        <v>474.67001342773398</v>
      </c>
      <c r="F4">
        <v>99.407653808593693</v>
      </c>
      <c r="G4">
        <v>47.976650238037102</v>
      </c>
      <c r="H4">
        <v>162.90576171875</v>
      </c>
      <c r="I4">
        <v>90.0458984375</v>
      </c>
      <c r="J4">
        <v>237.92999267578099</v>
      </c>
      <c r="K4">
        <v>235.186431884765</v>
      </c>
    </row>
    <row r="5" spans="1:11">
      <c r="A5" s="1">
        <v>45296</v>
      </c>
      <c r="B5">
        <v>249</v>
      </c>
      <c r="C5">
        <v>57.0716552734375</v>
      </c>
      <c r="D5">
        <v>363.62240600585898</v>
      </c>
      <c r="E5">
        <v>474.05999755859301</v>
      </c>
      <c r="F5">
        <v>99.193870544433594</v>
      </c>
      <c r="G5">
        <v>49.075160980224602</v>
      </c>
      <c r="H5">
        <v>160.50212097167901</v>
      </c>
      <c r="I5">
        <v>89.506858825683594</v>
      </c>
      <c r="J5">
        <v>237.49000549316401</v>
      </c>
      <c r="K5">
        <v>234.57756042480401</v>
      </c>
    </row>
    <row r="6" spans="1:11">
      <c r="A6" s="1">
        <v>45299</v>
      </c>
      <c r="B6">
        <v>229</v>
      </c>
      <c r="C6">
        <v>57.4924926757812</v>
      </c>
      <c r="D6">
        <v>370.48452758789</v>
      </c>
      <c r="E6">
        <v>485.02999877929602</v>
      </c>
      <c r="F6">
        <v>100.690338134765</v>
      </c>
      <c r="G6">
        <v>52.229751586913999</v>
      </c>
      <c r="H6">
        <v>160.66363525390599</v>
      </c>
      <c r="I6">
        <v>90.661918640136705</v>
      </c>
      <c r="J6">
        <v>240.44999694824199</v>
      </c>
      <c r="K6">
        <v>237.81828308105401</v>
      </c>
    </row>
    <row r="7" spans="1:11">
      <c r="A7" s="1">
        <v>45300</v>
      </c>
      <c r="B7">
        <v>225.759994506835</v>
      </c>
      <c r="C7">
        <v>57.3872871398925</v>
      </c>
      <c r="D7">
        <v>371.572174072265</v>
      </c>
      <c r="E7">
        <v>482.08999633789</v>
      </c>
      <c r="F7">
        <v>99.835220336914006</v>
      </c>
      <c r="G7">
        <v>53.116367340087798</v>
      </c>
      <c r="H7">
        <v>158.82052612304599</v>
      </c>
      <c r="I7">
        <v>89.603103637695298</v>
      </c>
      <c r="J7">
        <v>234.96000671386699</v>
      </c>
      <c r="K7">
        <v>235.55960083007801</v>
      </c>
    </row>
    <row r="8" spans="1:11">
      <c r="A8" s="1">
        <v>45301</v>
      </c>
      <c r="B8">
        <v>227.83999633789</v>
      </c>
      <c r="C8">
        <v>57.578575134277301</v>
      </c>
      <c r="D8">
        <v>378.47378540039</v>
      </c>
      <c r="E8">
        <v>478.329986572265</v>
      </c>
      <c r="F8">
        <v>100.83609008789</v>
      </c>
      <c r="G8">
        <v>54.3258247375488</v>
      </c>
      <c r="H8">
        <v>158.58303833007801</v>
      </c>
      <c r="I8">
        <v>89.997749328613196</v>
      </c>
      <c r="J8">
        <v>233.94000244140599</v>
      </c>
      <c r="K8">
        <v>241.029525756835</v>
      </c>
    </row>
    <row r="9" spans="1:11">
      <c r="A9" s="1">
        <v>45302</v>
      </c>
      <c r="B9">
        <v>222.66000366210901</v>
      </c>
      <c r="C9">
        <v>57.20556640625</v>
      </c>
      <c r="D9">
        <v>380.31298828125</v>
      </c>
      <c r="E9">
        <v>492.23001098632801</v>
      </c>
      <c r="F9">
        <v>102.905868530273</v>
      </c>
      <c r="G9">
        <v>54.797615051269503</v>
      </c>
      <c r="H9">
        <v>157.83247375488199</v>
      </c>
      <c r="I9">
        <v>89.458732604980398</v>
      </c>
      <c r="J9">
        <v>227.22000122070301</v>
      </c>
      <c r="K9">
        <v>242.63023376464801</v>
      </c>
    </row>
    <row r="10" spans="1:11">
      <c r="A10" s="1">
        <v>45303</v>
      </c>
      <c r="B10">
        <v>217.69999694824199</v>
      </c>
      <c r="C10">
        <v>57.760299682617102</v>
      </c>
      <c r="D10">
        <v>384.10983276367102</v>
      </c>
      <c r="E10">
        <v>492.16000366210898</v>
      </c>
      <c r="F10">
        <v>102.08961486816401</v>
      </c>
      <c r="G10">
        <v>54.685657501220703</v>
      </c>
      <c r="H10">
        <v>158.91557312011699</v>
      </c>
      <c r="I10">
        <v>88.534690856933594</v>
      </c>
      <c r="J10">
        <v>218.88999938964801</v>
      </c>
      <c r="K10">
        <v>243.93630981445301</v>
      </c>
    </row>
    <row r="11" spans="1:11">
      <c r="A11" s="1">
        <v>45307</v>
      </c>
      <c r="B11">
        <v>200.52000427246</v>
      </c>
      <c r="C11">
        <v>57.377723693847599</v>
      </c>
      <c r="D11">
        <v>385.88967895507801</v>
      </c>
      <c r="E11">
        <v>481.239990234375</v>
      </c>
      <c r="F11">
        <v>98.844047546386705</v>
      </c>
      <c r="G11">
        <v>56.356922149658203</v>
      </c>
      <c r="H11">
        <v>157.87048339843699</v>
      </c>
      <c r="I11">
        <v>89.227722167968693</v>
      </c>
      <c r="J11">
        <v>219.91000366210901</v>
      </c>
      <c r="K11">
        <v>241.37321472167901</v>
      </c>
    </row>
    <row r="12" spans="1:11">
      <c r="A12" s="1">
        <v>45308</v>
      </c>
      <c r="B12">
        <v>203.05999755859301</v>
      </c>
      <c r="C12">
        <v>57.377723693847599</v>
      </c>
      <c r="D12">
        <v>385.09860229492102</v>
      </c>
      <c r="E12">
        <v>480.329986572265</v>
      </c>
      <c r="F12">
        <v>97.969497680664006</v>
      </c>
      <c r="G12">
        <v>56.028068542480398</v>
      </c>
      <c r="H12">
        <v>158.12699890136699</v>
      </c>
      <c r="I12">
        <v>88.332550048828097</v>
      </c>
      <c r="J12">
        <v>215.55000305175699</v>
      </c>
      <c r="K12">
        <v>242.63023376464801</v>
      </c>
    </row>
    <row r="13" spans="1:11">
      <c r="A13" s="1">
        <v>45309</v>
      </c>
      <c r="B13">
        <v>211.61000061035099</v>
      </c>
      <c r="C13">
        <v>57.540317535400298</v>
      </c>
      <c r="D13">
        <v>389.44921875</v>
      </c>
      <c r="E13">
        <v>485.30999755859301</v>
      </c>
      <c r="F13">
        <v>98.086112976074205</v>
      </c>
      <c r="G13">
        <v>57.081600189208899</v>
      </c>
      <c r="H13">
        <v>158.82052612304599</v>
      </c>
      <c r="I13">
        <v>89.843742370605398</v>
      </c>
      <c r="J13">
        <v>211.88000488281199</v>
      </c>
      <c r="K13">
        <v>243.31764221191401</v>
      </c>
    </row>
    <row r="14" spans="1:11">
      <c r="A14" s="1">
        <v>45310</v>
      </c>
      <c r="B14">
        <v>215.02000427246</v>
      </c>
      <c r="C14">
        <v>57.2246894836425</v>
      </c>
      <c r="D14">
        <v>394.19534301757801</v>
      </c>
      <c r="E14">
        <v>482.95001220703102</v>
      </c>
      <c r="F14">
        <v>98.902359008789006</v>
      </c>
      <c r="G14">
        <v>59.464534759521399</v>
      </c>
      <c r="H14">
        <v>157.49995422363199</v>
      </c>
      <c r="I14">
        <v>90.344268798828097</v>
      </c>
      <c r="J14">
        <v>212.19000244140599</v>
      </c>
      <c r="K14">
        <v>246.25390625</v>
      </c>
    </row>
    <row r="15" spans="1:11">
      <c r="A15" s="1">
        <v>45313</v>
      </c>
      <c r="B15">
        <v>214.92999267578099</v>
      </c>
      <c r="C15">
        <v>56.976009368896399</v>
      </c>
      <c r="D15">
        <v>392.05966186523398</v>
      </c>
      <c r="E15">
        <v>485.70999145507801</v>
      </c>
      <c r="F15">
        <v>97.716857910156193</v>
      </c>
      <c r="G15">
        <v>59.627464294433501</v>
      </c>
      <c r="H15">
        <v>156.86341857910099</v>
      </c>
      <c r="I15">
        <v>89.583869934082003</v>
      </c>
      <c r="J15">
        <v>208.80000305175699</v>
      </c>
      <c r="K15">
        <v>244.62374877929599</v>
      </c>
    </row>
    <row r="16" spans="1:11">
      <c r="A16" s="1">
        <v>45314</v>
      </c>
      <c r="B16">
        <v>211.5</v>
      </c>
      <c r="C16">
        <v>57.243816375732401</v>
      </c>
      <c r="D16">
        <v>394.422760009765</v>
      </c>
      <c r="E16">
        <v>492.19000244140602</v>
      </c>
      <c r="F16">
        <v>99.018974304199205</v>
      </c>
      <c r="G16">
        <v>59.846370697021399</v>
      </c>
      <c r="H16">
        <v>159.26705932617099</v>
      </c>
      <c r="I16">
        <v>88.525054931640597</v>
      </c>
      <c r="J16">
        <v>209.13999938964801</v>
      </c>
      <c r="K16">
        <v>246.47978210449199</v>
      </c>
    </row>
    <row r="17" spans="1:11">
      <c r="A17" s="1">
        <v>45315</v>
      </c>
      <c r="B17">
        <v>214.13000488281199</v>
      </c>
      <c r="C17">
        <v>56.344749450683501</v>
      </c>
      <c r="D17">
        <v>398.04171752929602</v>
      </c>
      <c r="E17">
        <v>544.86999511718705</v>
      </c>
      <c r="F17">
        <v>97.911201477050696</v>
      </c>
      <c r="G17">
        <v>61.334701538085902</v>
      </c>
      <c r="H17">
        <v>157.32896423339801</v>
      </c>
      <c r="I17">
        <v>88.592445373535099</v>
      </c>
      <c r="J17">
        <v>207.83000183105401</v>
      </c>
      <c r="K17">
        <v>246.47978210449199</v>
      </c>
    </row>
    <row r="18" spans="1:11">
      <c r="A18" s="1">
        <v>45316</v>
      </c>
      <c r="B18">
        <v>201.88000488281199</v>
      </c>
      <c r="C18">
        <v>56.583858489990199</v>
      </c>
      <c r="D18">
        <v>400.32577514648398</v>
      </c>
      <c r="E18">
        <v>562</v>
      </c>
      <c r="F18">
        <v>97.920906066894503</v>
      </c>
      <c r="G18">
        <v>61.589591979980398</v>
      </c>
      <c r="H18">
        <v>158.24098205566401</v>
      </c>
      <c r="I18">
        <v>89.141090393066406</v>
      </c>
      <c r="J18">
        <v>182.63000488281199</v>
      </c>
      <c r="K18">
        <v>246.21461486816401</v>
      </c>
    </row>
    <row r="19" spans="1:11">
      <c r="A19" s="1">
        <v>45317</v>
      </c>
      <c r="B19">
        <v>205.47000122070301</v>
      </c>
      <c r="C19">
        <v>56.784717559814403</v>
      </c>
      <c r="D19">
        <v>399.39630126953102</v>
      </c>
      <c r="E19">
        <v>570.41998291015602</v>
      </c>
      <c r="F19">
        <v>99.844932556152301</v>
      </c>
      <c r="G19">
        <v>61.003852844238203</v>
      </c>
      <c r="H19">
        <v>159.47608947753901</v>
      </c>
      <c r="I19">
        <v>89.323982238769503</v>
      </c>
      <c r="J19">
        <v>183.25</v>
      </c>
      <c r="K19">
        <v>244.99691772460901</v>
      </c>
    </row>
    <row r="20" spans="1:11">
      <c r="A20" s="1">
        <v>45320</v>
      </c>
      <c r="B20">
        <v>205.19000244140599</v>
      </c>
      <c r="C20">
        <v>57.129039764404297</v>
      </c>
      <c r="D20">
        <v>405.121337890625</v>
      </c>
      <c r="E20">
        <v>575.78997802734295</v>
      </c>
      <c r="F20">
        <v>100.942985534667</v>
      </c>
      <c r="G20">
        <v>62.437210083007798</v>
      </c>
      <c r="H20">
        <v>159.75157165527301</v>
      </c>
      <c r="I20">
        <v>90.286514282226506</v>
      </c>
      <c r="J20">
        <v>190.92999267578099</v>
      </c>
      <c r="K20">
        <v>242.01153564453099</v>
      </c>
    </row>
    <row r="21" spans="1:11">
      <c r="A21" s="1">
        <v>45321</v>
      </c>
      <c r="B21">
        <v>200.44000244140599</v>
      </c>
      <c r="C21">
        <v>57.291641235351499</v>
      </c>
      <c r="D21">
        <v>404.00402832031199</v>
      </c>
      <c r="E21">
        <v>562.84997558593705</v>
      </c>
      <c r="F21">
        <v>101.234504699707</v>
      </c>
      <c r="G21">
        <v>62.746078491210902</v>
      </c>
      <c r="H21">
        <v>161.14816284179599</v>
      </c>
      <c r="I21">
        <v>90.556045532226506</v>
      </c>
      <c r="J21">
        <v>191.58999633789</v>
      </c>
      <c r="K21">
        <v>243.32745361328099</v>
      </c>
    </row>
    <row r="22" spans="1:11">
      <c r="A22" s="1">
        <v>45322</v>
      </c>
      <c r="B22">
        <v>211.03999328613199</v>
      </c>
      <c r="C22">
        <v>56.899497985839801</v>
      </c>
      <c r="D22">
        <v>393.11761474609301</v>
      </c>
      <c r="E22">
        <v>564.10998535156205</v>
      </c>
      <c r="F22">
        <v>98.659431457519503</v>
      </c>
      <c r="G22">
        <v>61.4996337890625</v>
      </c>
      <c r="H22">
        <v>160.11259460449199</v>
      </c>
      <c r="I22">
        <v>89.545364379882798</v>
      </c>
      <c r="J22">
        <v>187.28999328613199</v>
      </c>
      <c r="K22">
        <v>241.87405395507801</v>
      </c>
    </row>
    <row r="23" spans="1:11">
      <c r="A23" s="1">
        <v>45323</v>
      </c>
      <c r="B23">
        <v>209.80999755859301</v>
      </c>
      <c r="C23">
        <v>58.324607849121001</v>
      </c>
      <c r="D23">
        <v>399.24801635742102</v>
      </c>
      <c r="E23">
        <v>567.510009765625</v>
      </c>
      <c r="F23">
        <v>98.882926940917898</v>
      </c>
      <c r="G23">
        <v>62.998966217041001</v>
      </c>
      <c r="H23">
        <v>163.124267578125</v>
      </c>
      <c r="I23">
        <v>89.872627258300696</v>
      </c>
      <c r="J23">
        <v>188.86000061035099</v>
      </c>
      <c r="K23">
        <v>242.83645629882801</v>
      </c>
    </row>
    <row r="24" spans="1:11">
      <c r="A24" s="1">
        <v>45324</v>
      </c>
      <c r="B24">
        <v>209.38000488281199</v>
      </c>
      <c r="C24">
        <v>57.903770446777301</v>
      </c>
      <c r="D24">
        <v>406.60452270507801</v>
      </c>
      <c r="E24">
        <v>564.64001464843705</v>
      </c>
      <c r="F24">
        <v>97.862609863281193</v>
      </c>
      <c r="G24">
        <v>66.130577087402301</v>
      </c>
      <c r="H24">
        <v>162.43072509765599</v>
      </c>
      <c r="I24">
        <v>89.506858825683594</v>
      </c>
      <c r="J24">
        <v>187.91000366210901</v>
      </c>
      <c r="K24">
        <v>245.94947814941401</v>
      </c>
    </row>
    <row r="25" spans="1:11">
      <c r="A25" s="1">
        <v>45327</v>
      </c>
      <c r="B25">
        <v>206.63000488281199</v>
      </c>
      <c r="C25">
        <v>57.425540924072202</v>
      </c>
      <c r="D25">
        <v>401.09701538085898</v>
      </c>
      <c r="E25">
        <v>562.05999755859295</v>
      </c>
      <c r="F25">
        <v>96.861732482910099</v>
      </c>
      <c r="G25">
        <v>69.301162719726506</v>
      </c>
      <c r="H25">
        <v>162.38322448730401</v>
      </c>
      <c r="I25">
        <v>89.044845581054602</v>
      </c>
      <c r="J25">
        <v>181.05999755859301</v>
      </c>
      <c r="K25">
        <v>245.95930480957</v>
      </c>
    </row>
    <row r="26" spans="1:11">
      <c r="A26" s="1">
        <v>45328</v>
      </c>
      <c r="B26">
        <v>208.58000183105401</v>
      </c>
      <c r="C26">
        <v>57.329898834228501</v>
      </c>
      <c r="D26">
        <v>400.93881225585898</v>
      </c>
      <c r="E26">
        <v>555.88000488281205</v>
      </c>
      <c r="F26">
        <v>99.708885192871094</v>
      </c>
      <c r="G26">
        <v>68.192657470703097</v>
      </c>
      <c r="H26">
        <v>162.85826110839801</v>
      </c>
      <c r="I26">
        <v>92.086471557617102</v>
      </c>
      <c r="J26">
        <v>185.100006103515</v>
      </c>
      <c r="K26">
        <v>263.62603759765602</v>
      </c>
    </row>
    <row r="27" spans="1:11">
      <c r="A27" s="1">
        <v>45329</v>
      </c>
      <c r="B27">
        <v>211.919998168945</v>
      </c>
      <c r="C27">
        <v>57.377723693847599</v>
      </c>
      <c r="D27">
        <v>409.40270996093699</v>
      </c>
      <c r="E27">
        <v>559.29998779296795</v>
      </c>
      <c r="F27">
        <v>100.85553741455</v>
      </c>
      <c r="G27">
        <v>70.067817687988196</v>
      </c>
      <c r="H27">
        <v>162.90576171875</v>
      </c>
      <c r="I27">
        <v>91.739959716796804</v>
      </c>
      <c r="J27">
        <v>187.58000183105401</v>
      </c>
      <c r="K27">
        <v>266.90597534179602</v>
      </c>
    </row>
    <row r="28" spans="1:11">
      <c r="A28" s="1">
        <v>45330</v>
      </c>
      <c r="B28">
        <v>209.22000122070301</v>
      </c>
      <c r="C28">
        <v>57.2246894836425</v>
      </c>
      <c r="D28">
        <v>409.46203613281199</v>
      </c>
      <c r="E28">
        <v>558.530029296875</v>
      </c>
      <c r="F28">
        <v>100.83609008789</v>
      </c>
      <c r="G28">
        <v>69.610015869140597</v>
      </c>
      <c r="H28">
        <v>165.166900634765</v>
      </c>
      <c r="I28">
        <v>93.531364440917898</v>
      </c>
      <c r="J28">
        <v>189.55999755859301</v>
      </c>
      <c r="K28">
        <v>265.25616455078102</v>
      </c>
    </row>
    <row r="29" spans="1:11">
      <c r="A29" s="1">
        <v>45331</v>
      </c>
      <c r="B29">
        <v>209.19999694824199</v>
      </c>
      <c r="C29">
        <v>56.966442108154297</v>
      </c>
      <c r="D29">
        <v>415.82977294921801</v>
      </c>
      <c r="E29">
        <v>561.32000732421795</v>
      </c>
      <c r="F29">
        <v>101.545455932617</v>
      </c>
      <c r="G29">
        <v>72.100921630859304</v>
      </c>
      <c r="H29">
        <v>159.29556274414</v>
      </c>
      <c r="I29">
        <v>94.218894958496094</v>
      </c>
      <c r="J29">
        <v>193.57000732421801</v>
      </c>
      <c r="K29">
        <v>266.97473144531199</v>
      </c>
    </row>
    <row r="30" spans="1:11">
      <c r="A30" s="1">
        <v>45334</v>
      </c>
      <c r="B30">
        <v>209.33000183105401</v>
      </c>
      <c r="C30">
        <v>57.100349426269503</v>
      </c>
      <c r="D30">
        <v>410.59915161132801</v>
      </c>
      <c r="E30">
        <v>557.84997558593705</v>
      </c>
      <c r="F30">
        <v>104.149688720703</v>
      </c>
      <c r="G30">
        <v>72.215866088867102</v>
      </c>
      <c r="H30">
        <v>162.08871459960901</v>
      </c>
      <c r="I30">
        <v>92.446846008300696</v>
      </c>
      <c r="J30">
        <v>188.13000488281199</v>
      </c>
      <c r="K30">
        <v>267.30865478515602</v>
      </c>
    </row>
    <row r="31" spans="1:11">
      <c r="A31" s="1">
        <v>45335</v>
      </c>
      <c r="B31">
        <v>204.46000671386699</v>
      </c>
      <c r="C31">
        <v>56.765590667724602</v>
      </c>
      <c r="D31">
        <v>401.759521484375</v>
      </c>
      <c r="E31">
        <v>554.52001953125</v>
      </c>
      <c r="F31">
        <v>102.031326293945</v>
      </c>
      <c r="G31">
        <v>72.095924377441406</v>
      </c>
      <c r="H31">
        <v>160.44514465332</v>
      </c>
      <c r="I31">
        <v>90.897514343261705</v>
      </c>
      <c r="J31">
        <v>184.02000427246</v>
      </c>
      <c r="K31">
        <v>265.99273681640602</v>
      </c>
    </row>
    <row r="32" spans="1:11">
      <c r="A32" s="1">
        <v>45336</v>
      </c>
      <c r="B32">
        <v>203.38000488281199</v>
      </c>
      <c r="C32">
        <v>56.708206176757798</v>
      </c>
      <c r="D32">
        <v>405.64266967773398</v>
      </c>
      <c r="E32">
        <v>579.33001708984295</v>
      </c>
      <c r="F32">
        <v>103.32370758056599</v>
      </c>
      <c r="G32">
        <v>73.867134094238196</v>
      </c>
      <c r="H32">
        <v>159.15304565429599</v>
      </c>
      <c r="I32">
        <v>91.091178894042898</v>
      </c>
      <c r="J32">
        <v>188.71000671386699</v>
      </c>
      <c r="K32">
        <v>270.21542358398398</v>
      </c>
    </row>
    <row r="33" spans="1:11">
      <c r="A33" s="1">
        <v>45337</v>
      </c>
      <c r="B33">
        <v>205.33000183105401</v>
      </c>
      <c r="C33">
        <v>56.8134155273437</v>
      </c>
      <c r="D33">
        <v>402.740234375</v>
      </c>
      <c r="E33">
        <v>593.46002197265602</v>
      </c>
      <c r="F33">
        <v>103.051643371582</v>
      </c>
      <c r="G33">
        <v>72.625671386718693</v>
      </c>
      <c r="H33">
        <v>159.47608947753901</v>
      </c>
      <c r="I33">
        <v>90.268096923828097</v>
      </c>
      <c r="J33">
        <v>200.44999694824199</v>
      </c>
      <c r="K33">
        <v>272.45446777343699</v>
      </c>
    </row>
    <row r="34" spans="1:11">
      <c r="A34" s="1">
        <v>45338</v>
      </c>
      <c r="B34">
        <v>203.88999938964801</v>
      </c>
      <c r="C34">
        <v>56.803848266601499</v>
      </c>
      <c r="D34">
        <v>400.26370239257801</v>
      </c>
      <c r="E34">
        <v>583.95001220703102</v>
      </c>
      <c r="F34">
        <v>100.583450317382</v>
      </c>
      <c r="G34">
        <v>72.580703735351506</v>
      </c>
      <c r="H34">
        <v>158.01300048828099</v>
      </c>
      <c r="I34">
        <v>90.268096923828097</v>
      </c>
      <c r="J34">
        <v>199.94999694824199</v>
      </c>
      <c r="K34">
        <v>272.32681274414</v>
      </c>
    </row>
    <row r="35" spans="1:11">
      <c r="A35" s="1">
        <v>45342</v>
      </c>
      <c r="B35">
        <v>203.36999511718699</v>
      </c>
      <c r="C35">
        <v>58.056804656982401</v>
      </c>
      <c r="D35">
        <v>399.005615234375</v>
      </c>
      <c r="E35">
        <v>575.13000488281205</v>
      </c>
      <c r="F35">
        <v>100.37937927246</v>
      </c>
      <c r="G35">
        <v>69.421112060546804</v>
      </c>
      <c r="H35">
        <v>160.22662353515599</v>
      </c>
      <c r="I35">
        <v>90.500495910644503</v>
      </c>
      <c r="J35">
        <v>193.759994506835</v>
      </c>
      <c r="K35">
        <v>270.68682861328102</v>
      </c>
    </row>
    <row r="36" spans="1:11">
      <c r="A36" s="1">
        <v>45343</v>
      </c>
      <c r="B36">
        <v>201.57000732421801</v>
      </c>
      <c r="C36">
        <v>58.573287963867102</v>
      </c>
      <c r="D36">
        <v>398.40133666992102</v>
      </c>
      <c r="E36">
        <v>573.34997558593705</v>
      </c>
      <c r="F36">
        <v>102.293685913085</v>
      </c>
      <c r="G36">
        <v>67.441993713378906</v>
      </c>
      <c r="H36">
        <v>160.39764404296801</v>
      </c>
      <c r="I36">
        <v>92.011093139648395</v>
      </c>
      <c r="J36">
        <v>194.77000427246</v>
      </c>
      <c r="K36">
        <v>270.058349609375</v>
      </c>
    </row>
    <row r="37" spans="1:11">
      <c r="A37" s="1">
        <v>45344</v>
      </c>
      <c r="B37">
        <v>201.5</v>
      </c>
      <c r="C37">
        <v>58.487209320068303</v>
      </c>
      <c r="D37">
        <v>407.78237915039</v>
      </c>
      <c r="E37">
        <v>588.469970703125</v>
      </c>
      <c r="F37">
        <v>102.10906219482401</v>
      </c>
      <c r="G37">
        <v>78.503067016601506</v>
      </c>
      <c r="H37">
        <v>159.84661865234301</v>
      </c>
      <c r="I37">
        <v>92.747032165527301</v>
      </c>
      <c r="J37">
        <v>197.41000366210901</v>
      </c>
      <c r="K37">
        <v>272.39553833007801</v>
      </c>
    </row>
    <row r="38" spans="1:11">
      <c r="A38" s="1">
        <v>45345</v>
      </c>
      <c r="B38">
        <v>200.83000183105401</v>
      </c>
      <c r="C38">
        <v>58.535030364990199</v>
      </c>
      <c r="D38">
        <v>406.48468017578102</v>
      </c>
      <c r="E38">
        <v>583.55999755859295</v>
      </c>
      <c r="F38">
        <v>102.643508911132</v>
      </c>
      <c r="G38">
        <v>78.781936645507798</v>
      </c>
      <c r="H38">
        <v>161.12918090820301</v>
      </c>
      <c r="I38">
        <v>92.592109680175696</v>
      </c>
      <c r="J38">
        <v>191.97000122070301</v>
      </c>
      <c r="K38">
        <v>272.58215332031199</v>
      </c>
    </row>
    <row r="39" spans="1:11">
      <c r="A39" s="1">
        <v>45348</v>
      </c>
      <c r="B39">
        <v>200.53999328613199</v>
      </c>
      <c r="C39">
        <v>58.066368103027301</v>
      </c>
      <c r="D39">
        <v>403.71102905273398</v>
      </c>
      <c r="E39">
        <v>587.65002441406205</v>
      </c>
      <c r="F39">
        <v>101.584327697753</v>
      </c>
      <c r="G39">
        <v>79.056823730468693</v>
      </c>
      <c r="H39">
        <v>159.85610961914</v>
      </c>
      <c r="I39">
        <v>91.294525146484304</v>
      </c>
      <c r="J39">
        <v>199.39999389648401</v>
      </c>
      <c r="K39">
        <v>270.07797241210898</v>
      </c>
    </row>
    <row r="40" spans="1:11">
      <c r="A40" s="1">
        <v>45349</v>
      </c>
      <c r="B40">
        <v>201.39999389648401</v>
      </c>
      <c r="C40">
        <v>57.712474822997997</v>
      </c>
      <c r="D40">
        <v>403.65158081054602</v>
      </c>
      <c r="E40">
        <v>601.66998291015602</v>
      </c>
      <c r="F40">
        <v>102.17707824707</v>
      </c>
      <c r="G40">
        <v>78.665985107421804</v>
      </c>
      <c r="H40">
        <v>159.76109313964801</v>
      </c>
      <c r="I40">
        <v>91.149269104003906</v>
      </c>
      <c r="J40">
        <v>199.72999572753901</v>
      </c>
      <c r="K40">
        <v>270.11724853515602</v>
      </c>
    </row>
    <row r="41" spans="1:11">
      <c r="A41" s="1">
        <v>45350</v>
      </c>
      <c r="B41">
        <v>207</v>
      </c>
      <c r="C41">
        <v>57.769874572753899</v>
      </c>
      <c r="D41">
        <v>403.88931274414</v>
      </c>
      <c r="E41">
        <v>596.47998046875</v>
      </c>
      <c r="F41">
        <v>101.399688720703</v>
      </c>
      <c r="G41">
        <v>77.628448486328097</v>
      </c>
      <c r="H41">
        <v>158.68753051757801</v>
      </c>
      <c r="I41">
        <v>90.0550537109375</v>
      </c>
      <c r="J41">
        <v>202.03999328613199</v>
      </c>
      <c r="K41">
        <v>270.23507690429602</v>
      </c>
    </row>
    <row r="42" spans="1:11">
      <c r="A42" s="1">
        <v>45351</v>
      </c>
      <c r="B42">
        <v>203.72000122070301</v>
      </c>
      <c r="C42">
        <v>57.406414031982401</v>
      </c>
      <c r="D42">
        <v>409.75369262695301</v>
      </c>
      <c r="E42">
        <v>602.91998291015602</v>
      </c>
      <c r="F42">
        <v>100.991561889648</v>
      </c>
      <c r="G42">
        <v>79.076820373535099</v>
      </c>
      <c r="H42">
        <v>158.280670166015</v>
      </c>
      <c r="I42">
        <v>91.894889831542898</v>
      </c>
      <c r="J42">
        <v>201.88000488281199</v>
      </c>
      <c r="K42">
        <v>267.71127319335898</v>
      </c>
    </row>
    <row r="43" spans="1:11">
      <c r="A43" s="1">
        <v>45352</v>
      </c>
      <c r="B43">
        <v>200</v>
      </c>
      <c r="C43">
        <v>56.937751770019503</v>
      </c>
      <c r="D43">
        <v>411.59622192382801</v>
      </c>
      <c r="E43">
        <v>619.34002685546795</v>
      </c>
      <c r="F43">
        <v>99.353233337402301</v>
      </c>
      <c r="G43">
        <v>82.242393493652301</v>
      </c>
      <c r="H43">
        <v>157.56268310546801</v>
      </c>
      <c r="I43">
        <v>90.209999084472599</v>
      </c>
      <c r="J43">
        <v>202.63999938964801</v>
      </c>
      <c r="K43">
        <v>266.30691528320301</v>
      </c>
    </row>
    <row r="44" spans="1:11">
      <c r="A44" s="1">
        <v>45355</v>
      </c>
      <c r="B44">
        <v>200.53999328613199</v>
      </c>
      <c r="C44">
        <v>57.20556640625</v>
      </c>
      <c r="D44">
        <v>411.02169799804602</v>
      </c>
      <c r="E44">
        <v>615.83001708984295</v>
      </c>
      <c r="F44">
        <v>97.071266174316406</v>
      </c>
      <c r="G44">
        <v>85.199081420898395</v>
      </c>
      <c r="H44">
        <v>158.30938720703099</v>
      </c>
      <c r="I44">
        <v>89.532157897949205</v>
      </c>
      <c r="J44">
        <v>188.13999938964801</v>
      </c>
      <c r="K44">
        <v>267.20062255859301</v>
      </c>
    </row>
    <row r="45" spans="1:11">
      <c r="A45" s="1">
        <v>45356</v>
      </c>
      <c r="B45">
        <v>201.13999938964801</v>
      </c>
      <c r="C45">
        <v>56.928184509277301</v>
      </c>
      <c r="D45">
        <v>398.866943359375</v>
      </c>
      <c r="E45">
        <v>598.5</v>
      </c>
      <c r="F45">
        <v>95.871772766113196</v>
      </c>
      <c r="G45">
        <v>85.929794311523395</v>
      </c>
      <c r="H45">
        <v>155.12155151367099</v>
      </c>
      <c r="I45">
        <v>88.3314208984375</v>
      </c>
      <c r="J45">
        <v>180.74000549316401</v>
      </c>
      <c r="K45">
        <v>266.84710693359301</v>
      </c>
    </row>
    <row r="46" spans="1:11">
      <c r="A46" s="1">
        <v>45357</v>
      </c>
      <c r="B46">
        <v>201</v>
      </c>
      <c r="C46">
        <v>56.956882476806598</v>
      </c>
      <c r="D46">
        <v>398.31216430664</v>
      </c>
      <c r="E46">
        <v>597.69000244140602</v>
      </c>
      <c r="F46">
        <v>95.208641052246094</v>
      </c>
      <c r="G46">
        <v>88.664703369140597</v>
      </c>
      <c r="H46">
        <v>156.04057312011699</v>
      </c>
      <c r="I46">
        <v>88.747817993164006</v>
      </c>
      <c r="J46">
        <v>176.53999328613199</v>
      </c>
      <c r="K46">
        <v>269.9306640625</v>
      </c>
    </row>
    <row r="47" spans="1:11">
      <c r="A47" s="1">
        <v>45358</v>
      </c>
      <c r="B47">
        <v>203.02999877929599</v>
      </c>
      <c r="C47">
        <v>56.851673126220703</v>
      </c>
      <c r="D47">
        <v>405.29602050781199</v>
      </c>
      <c r="E47">
        <v>608.510009765625</v>
      </c>
      <c r="F47">
        <v>95.754753112792898</v>
      </c>
      <c r="G47">
        <v>92.632125854492102</v>
      </c>
      <c r="H47">
        <v>156.14588928222599</v>
      </c>
      <c r="I47">
        <v>88.069976806640597</v>
      </c>
      <c r="J47">
        <v>178.64999389648401</v>
      </c>
      <c r="K47">
        <v>269.42984008789</v>
      </c>
    </row>
    <row r="48" spans="1:11">
      <c r="A48" s="1">
        <v>45359</v>
      </c>
      <c r="B48">
        <v>198.49000549316401</v>
      </c>
      <c r="C48">
        <v>56.928184509277301</v>
      </c>
      <c r="D48">
        <v>402.40344238281199</v>
      </c>
      <c r="E48">
        <v>604.82000732421795</v>
      </c>
      <c r="F48">
        <v>96.700691223144503</v>
      </c>
      <c r="G48">
        <v>87.493171691894503</v>
      </c>
      <c r="H48">
        <v>156.088455200195</v>
      </c>
      <c r="I48">
        <v>88.176490783691406</v>
      </c>
      <c r="J48">
        <v>175.33999633789</v>
      </c>
      <c r="K48">
        <v>268.79150390625</v>
      </c>
    </row>
    <row r="49" spans="1:11">
      <c r="A49" s="1">
        <v>45362</v>
      </c>
      <c r="B49">
        <v>192.49000549316401</v>
      </c>
      <c r="C49">
        <v>57.616836547851499</v>
      </c>
      <c r="D49">
        <v>400.71939086914</v>
      </c>
      <c r="E49">
        <v>600.92999267578102</v>
      </c>
      <c r="F49">
        <v>98.573081970214801</v>
      </c>
      <c r="G49">
        <v>85.7398681640625</v>
      </c>
      <c r="H49">
        <v>157.69671630859301</v>
      </c>
      <c r="I49">
        <v>89.154510498046804</v>
      </c>
      <c r="J49">
        <v>177.77000427246</v>
      </c>
      <c r="K49">
        <v>267.08282470703102</v>
      </c>
    </row>
    <row r="50" spans="1:11">
      <c r="A50" s="1">
        <v>45363</v>
      </c>
      <c r="B50">
        <v>184.24000549316401</v>
      </c>
      <c r="C50">
        <v>57.865512847900298</v>
      </c>
      <c r="D50">
        <v>411.37826538085898</v>
      </c>
      <c r="E50">
        <v>611.08001708984295</v>
      </c>
      <c r="F50">
        <v>97.695404052734304</v>
      </c>
      <c r="G50">
        <v>91.876434326171804</v>
      </c>
      <c r="H50">
        <v>157.51483154296801</v>
      </c>
      <c r="I50">
        <v>89.474060058593693</v>
      </c>
      <c r="J50">
        <v>177.53999328613199</v>
      </c>
      <c r="K50">
        <v>270.03872680664</v>
      </c>
    </row>
    <row r="51" spans="1:11">
      <c r="A51" s="1">
        <v>45364</v>
      </c>
      <c r="B51">
        <v>182.350006103515</v>
      </c>
      <c r="C51">
        <v>58.458511352538999</v>
      </c>
      <c r="D51">
        <v>411.19998168945301</v>
      </c>
      <c r="E51">
        <v>609.45001220703102</v>
      </c>
      <c r="F51">
        <v>98.846130371093693</v>
      </c>
      <c r="G51">
        <v>90.851837158203097</v>
      </c>
      <c r="H51">
        <v>158.24240112304599</v>
      </c>
      <c r="I51">
        <v>88.709075927734304</v>
      </c>
      <c r="J51">
        <v>169.47999572753901</v>
      </c>
      <c r="K51">
        <v>269.96014404296801</v>
      </c>
    </row>
    <row r="52" spans="1:11">
      <c r="A52" s="1">
        <v>45365</v>
      </c>
      <c r="B52">
        <v>181.14999389648401</v>
      </c>
      <c r="C52">
        <v>58.328365325927699</v>
      </c>
      <c r="D52">
        <v>421.22491455078102</v>
      </c>
      <c r="E52">
        <v>613.010009765625</v>
      </c>
      <c r="F52">
        <v>97.773414611816406</v>
      </c>
      <c r="G52">
        <v>87.909004211425696</v>
      </c>
      <c r="H52">
        <v>157.74458312988199</v>
      </c>
      <c r="I52">
        <v>88.757499694824205</v>
      </c>
      <c r="J52">
        <v>162.5</v>
      </c>
      <c r="K52">
        <v>269.07629394531199</v>
      </c>
    </row>
    <row r="53" spans="1:11">
      <c r="A53" s="1">
        <v>45366</v>
      </c>
      <c r="B53">
        <v>182.52999877929599</v>
      </c>
      <c r="C53">
        <v>57.730617523193303</v>
      </c>
      <c r="D53">
        <v>412.50759887695301</v>
      </c>
      <c r="E53">
        <v>605.88000488281205</v>
      </c>
      <c r="F53">
        <v>97.168792724609304</v>
      </c>
      <c r="G53">
        <v>87.802047729492102</v>
      </c>
      <c r="H53">
        <v>157.62971496582</v>
      </c>
      <c r="I53">
        <v>87.266265869140597</v>
      </c>
      <c r="J53">
        <v>163.57000732421801</v>
      </c>
      <c r="K53">
        <v>267.06317138671801</v>
      </c>
    </row>
    <row r="54" spans="1:11">
      <c r="A54" s="1">
        <v>45369</v>
      </c>
      <c r="B54">
        <v>179.83999633789</v>
      </c>
      <c r="C54">
        <v>57.971649169921797</v>
      </c>
      <c r="D54">
        <v>413.39910888671801</v>
      </c>
      <c r="E54">
        <v>618.39001464843705</v>
      </c>
      <c r="F54">
        <v>96.291107177734304</v>
      </c>
      <c r="G54">
        <v>88.4197998046875</v>
      </c>
      <c r="H54">
        <v>163.94792175292901</v>
      </c>
      <c r="I54">
        <v>88.128082275390597</v>
      </c>
      <c r="J54">
        <v>173.80000305175699</v>
      </c>
      <c r="K54">
        <v>268.89950561523398</v>
      </c>
    </row>
    <row r="55" spans="1:11">
      <c r="A55" s="1">
        <v>45370</v>
      </c>
      <c r="B55">
        <v>181.13999938964801</v>
      </c>
      <c r="C55">
        <v>58.0680541992187</v>
      </c>
      <c r="D55">
        <v>417.45068359375</v>
      </c>
      <c r="E55">
        <v>620.739990234375</v>
      </c>
      <c r="F55">
        <v>97.480850219726506</v>
      </c>
      <c r="G55">
        <v>89.362434387207003</v>
      </c>
      <c r="H55">
        <v>164.46487426757801</v>
      </c>
      <c r="I55">
        <v>88.689704895019503</v>
      </c>
      <c r="J55">
        <v>171.32000732421801</v>
      </c>
      <c r="K55">
        <v>268.03536987304602</v>
      </c>
    </row>
    <row r="56" spans="1:11">
      <c r="A56" s="1">
        <v>45371</v>
      </c>
      <c r="B56">
        <v>187.77999877929599</v>
      </c>
      <c r="C56">
        <v>58.569389343261697</v>
      </c>
      <c r="D56">
        <v>421.234771728515</v>
      </c>
      <c r="E56">
        <v>627.69000244140602</v>
      </c>
      <c r="F56">
        <v>97.783157348632798</v>
      </c>
      <c r="G56">
        <v>90.336044311523395</v>
      </c>
      <c r="H56">
        <v>164.52229309082</v>
      </c>
      <c r="I56">
        <v>89.667716979980398</v>
      </c>
      <c r="J56">
        <v>175.66000366210901</v>
      </c>
      <c r="K56">
        <v>269.77352905273398</v>
      </c>
    </row>
    <row r="57" spans="1:11">
      <c r="A57" s="1">
        <v>45372</v>
      </c>
      <c r="B57">
        <v>187.69999694824199</v>
      </c>
      <c r="C57">
        <v>58.299442291259702</v>
      </c>
      <c r="D57">
        <v>425.33587646484301</v>
      </c>
      <c r="E57">
        <v>622.71002197265602</v>
      </c>
      <c r="F57">
        <v>98.319519042968693</v>
      </c>
      <c r="G57">
        <v>91.398612976074205</v>
      </c>
      <c r="H57">
        <v>165.08711242675699</v>
      </c>
      <c r="I57">
        <v>88.757499694824205</v>
      </c>
      <c r="J57">
        <v>172.82000732421801</v>
      </c>
      <c r="K57">
        <v>269.57711791992102</v>
      </c>
    </row>
    <row r="58" spans="1:11">
      <c r="A58" s="1">
        <v>45373</v>
      </c>
      <c r="B58">
        <v>188.850006103515</v>
      </c>
      <c r="C58">
        <v>58.318721771240199</v>
      </c>
      <c r="D58">
        <v>424.711822509765</v>
      </c>
      <c r="E58">
        <v>628.010009765625</v>
      </c>
      <c r="F58">
        <v>91.532142639160099</v>
      </c>
      <c r="G58">
        <v>94.251487731933594</v>
      </c>
      <c r="H58">
        <v>164.67546081542901</v>
      </c>
      <c r="I58">
        <v>87.837570190429602</v>
      </c>
      <c r="J58">
        <v>170.83000183105401</v>
      </c>
      <c r="K58">
        <v>268.30047607421801</v>
      </c>
    </row>
    <row r="59" spans="1:11">
      <c r="A59" s="1">
        <v>45376</v>
      </c>
      <c r="B59">
        <v>191.41000366210901</v>
      </c>
      <c r="C59">
        <v>58.2319526672363</v>
      </c>
      <c r="D59">
        <v>418.88702392578102</v>
      </c>
      <c r="E59">
        <v>627.46002197265602</v>
      </c>
      <c r="F59">
        <v>91.424865722656193</v>
      </c>
      <c r="G59">
        <v>94.964187622070298</v>
      </c>
      <c r="H59">
        <v>165.230712890625</v>
      </c>
      <c r="I59">
        <v>87.798835754394503</v>
      </c>
      <c r="J59">
        <v>172.63000488281199</v>
      </c>
      <c r="K59">
        <v>268.80133056640602</v>
      </c>
    </row>
    <row r="60" spans="1:11">
      <c r="A60" s="1">
        <v>45377</v>
      </c>
      <c r="B60">
        <v>187.5</v>
      </c>
      <c r="C60">
        <v>58.366928100585902</v>
      </c>
      <c r="D60">
        <v>417.68841552734301</v>
      </c>
      <c r="E60">
        <v>629.239990234375</v>
      </c>
      <c r="F60">
        <v>90.283889770507798</v>
      </c>
      <c r="G60">
        <v>92.524162292480398</v>
      </c>
      <c r="H60">
        <v>165.35514831542901</v>
      </c>
      <c r="I60">
        <v>87.4986572265625</v>
      </c>
      <c r="J60">
        <v>177.669998168945</v>
      </c>
      <c r="K60">
        <v>269.21380615234301</v>
      </c>
    </row>
    <row r="61" spans="1:11">
      <c r="A61" s="1">
        <v>45378</v>
      </c>
      <c r="B61">
        <v>191.94999694824199</v>
      </c>
      <c r="C61">
        <v>58.839340209960902</v>
      </c>
      <c r="D61">
        <v>417.47048950195301</v>
      </c>
      <c r="E61">
        <v>613.530029296875</v>
      </c>
      <c r="F61">
        <v>91.795440673828097</v>
      </c>
      <c r="G61">
        <v>90.214088439941406</v>
      </c>
      <c r="H61">
        <v>166.15930175781199</v>
      </c>
      <c r="I61">
        <v>88.602561950683594</v>
      </c>
      <c r="J61">
        <v>179.83000183105401</v>
      </c>
      <c r="K61">
        <v>271.834381103515</v>
      </c>
    </row>
    <row r="62" spans="1:11">
      <c r="A62" s="1">
        <v>45379</v>
      </c>
      <c r="B62">
        <v>192.99000549316401</v>
      </c>
      <c r="C62">
        <v>58.983951568603501</v>
      </c>
      <c r="D62">
        <v>416.76715087890602</v>
      </c>
      <c r="E62">
        <v>607.33001708984295</v>
      </c>
      <c r="F62">
        <v>91.649169921875</v>
      </c>
      <c r="G62">
        <v>90.320053100585895</v>
      </c>
      <c r="H62">
        <v>167.53779602050699</v>
      </c>
      <c r="I62">
        <v>88.496032714843693</v>
      </c>
      <c r="J62">
        <v>175.78999328613199</v>
      </c>
      <c r="K62">
        <v>270.92803955078102</v>
      </c>
    </row>
    <row r="63" spans="1:11">
      <c r="A63" s="1">
        <v>45383</v>
      </c>
      <c r="B63">
        <v>189.5</v>
      </c>
      <c r="C63">
        <v>58.501895904541001</v>
      </c>
      <c r="D63">
        <v>420.58099365234301</v>
      </c>
      <c r="E63">
        <v>614.30999755859295</v>
      </c>
      <c r="F63">
        <v>90.264381408691406</v>
      </c>
      <c r="G63">
        <v>90.327041625976506</v>
      </c>
      <c r="H63">
        <v>165.594482421875</v>
      </c>
      <c r="I63">
        <v>88.631607055664006</v>
      </c>
      <c r="J63">
        <v>175.22000122070301</v>
      </c>
      <c r="K63">
        <v>269.39111328125</v>
      </c>
    </row>
    <row r="64" spans="1:11">
      <c r="A64" s="1">
        <v>45384</v>
      </c>
      <c r="B64">
        <v>188.03999328613199</v>
      </c>
      <c r="C64">
        <v>57.990928649902301</v>
      </c>
      <c r="D64">
        <v>417.48040771484301</v>
      </c>
      <c r="E64">
        <v>614.21002197265602</v>
      </c>
      <c r="F64">
        <v>88.694313049316406</v>
      </c>
      <c r="G64">
        <v>89.416404724121094</v>
      </c>
      <c r="H64">
        <v>164.12022399902301</v>
      </c>
      <c r="I64">
        <v>86.472229003906193</v>
      </c>
      <c r="J64">
        <v>166.63000488281199</v>
      </c>
      <c r="K64">
        <v>263.84445190429602</v>
      </c>
    </row>
    <row r="65" spans="1:11">
      <c r="A65" s="1">
        <v>45385</v>
      </c>
      <c r="B65">
        <v>184.919998168945</v>
      </c>
      <c r="C65">
        <v>57.682415008544901</v>
      </c>
      <c r="D65">
        <v>416.49972534179602</v>
      </c>
      <c r="E65">
        <v>630.08001708984295</v>
      </c>
      <c r="F65">
        <v>88.089698791503906</v>
      </c>
      <c r="G65">
        <v>88.928596496582003</v>
      </c>
      <c r="H65">
        <v>162.43537902832</v>
      </c>
      <c r="I65">
        <v>85.891220092773395</v>
      </c>
      <c r="J65">
        <v>168.38000488281199</v>
      </c>
      <c r="K65">
        <v>265.312408447265</v>
      </c>
    </row>
    <row r="66" spans="1:11">
      <c r="A66" s="1">
        <v>45386</v>
      </c>
      <c r="B66">
        <v>183.28999328613199</v>
      </c>
      <c r="C66">
        <v>57.171432495117102</v>
      </c>
      <c r="D66">
        <v>413.953857421875</v>
      </c>
      <c r="E66">
        <v>617.14001464843705</v>
      </c>
      <c r="F66">
        <v>86.860939025878906</v>
      </c>
      <c r="G66">
        <v>85.870811462402301</v>
      </c>
      <c r="H66">
        <v>162.40666198730401</v>
      </c>
      <c r="I66">
        <v>84.845428466796804</v>
      </c>
      <c r="J66">
        <v>171.11000061035099</v>
      </c>
      <c r="K66">
        <v>262.37655639648398</v>
      </c>
    </row>
    <row r="67" spans="1:11">
      <c r="A67" s="1">
        <v>45387</v>
      </c>
      <c r="B67">
        <v>183.13999938964801</v>
      </c>
      <c r="C67">
        <v>57.373897552490199</v>
      </c>
      <c r="D67">
        <v>421.52206420898398</v>
      </c>
      <c r="E67">
        <v>636.17999267578102</v>
      </c>
      <c r="F67">
        <v>86.636642456054602</v>
      </c>
      <c r="G67">
        <v>87.972976684570298</v>
      </c>
      <c r="H67">
        <v>161.91844177246</v>
      </c>
      <c r="I67">
        <v>84.099807739257798</v>
      </c>
      <c r="J67">
        <v>164.89999389648401</v>
      </c>
      <c r="K67">
        <v>266.92810058593699</v>
      </c>
    </row>
    <row r="68" spans="1:11">
      <c r="A68" s="1">
        <v>45390</v>
      </c>
      <c r="B68">
        <v>181.55999755859301</v>
      </c>
      <c r="C68">
        <v>57.142513275146399</v>
      </c>
      <c r="D68">
        <v>420.600830078125</v>
      </c>
      <c r="E68">
        <v>628.40997314453102</v>
      </c>
      <c r="F68">
        <v>87.767868041992102</v>
      </c>
      <c r="G68">
        <v>87.098327636718693</v>
      </c>
      <c r="H68">
        <v>162.33964538574199</v>
      </c>
      <c r="I68">
        <v>84.429031372070298</v>
      </c>
      <c r="J68">
        <v>172.97999572753901</v>
      </c>
      <c r="K68">
        <v>263.43072509765602</v>
      </c>
    </row>
    <row r="69" spans="1:11">
      <c r="A69" s="1">
        <v>45391</v>
      </c>
      <c r="B69">
        <v>178.11999511718699</v>
      </c>
      <c r="C69">
        <v>57.576362609863203</v>
      </c>
      <c r="D69">
        <v>422.27490234375</v>
      </c>
      <c r="E69">
        <v>618.20001220703102</v>
      </c>
      <c r="F69">
        <v>88.743072509765597</v>
      </c>
      <c r="G69">
        <v>85.320022583007798</v>
      </c>
      <c r="H69">
        <v>163.32566833496</v>
      </c>
      <c r="I69">
        <v>84.370933532714801</v>
      </c>
      <c r="J69">
        <v>176.88000488281199</v>
      </c>
      <c r="K69">
        <v>261.17462158203102</v>
      </c>
    </row>
    <row r="70" spans="1:11">
      <c r="A70" s="1">
        <v>45392</v>
      </c>
      <c r="B70">
        <v>174.63000488281199</v>
      </c>
      <c r="C70">
        <v>56.8050727844238</v>
      </c>
      <c r="D70">
        <v>419.28329467773398</v>
      </c>
      <c r="E70">
        <v>618.58001708984295</v>
      </c>
      <c r="F70">
        <v>86.792671203613196</v>
      </c>
      <c r="G70">
        <v>87.004364013671804</v>
      </c>
      <c r="H70">
        <v>161.73654174804599</v>
      </c>
      <c r="I70">
        <v>83.228286743164006</v>
      </c>
      <c r="J70">
        <v>171.759994506835</v>
      </c>
      <c r="K70">
        <v>259.92340087890602</v>
      </c>
    </row>
    <row r="71" spans="1:11">
      <c r="A71" s="1">
        <v>45393</v>
      </c>
      <c r="B71">
        <v>173.36000061035099</v>
      </c>
      <c r="C71">
        <v>56.930404663085902</v>
      </c>
      <c r="D71">
        <v>423.90939331054602</v>
      </c>
      <c r="E71">
        <v>628.780029296875</v>
      </c>
      <c r="F71">
        <v>89.718269348144503</v>
      </c>
      <c r="G71">
        <v>90.579940795898395</v>
      </c>
      <c r="H71">
        <v>161.17173767089801</v>
      </c>
      <c r="I71">
        <v>83.179893493652301</v>
      </c>
      <c r="J71">
        <v>174.600006103515</v>
      </c>
      <c r="K71">
        <v>256.45553588867102</v>
      </c>
    </row>
    <row r="72" spans="1:11">
      <c r="A72" s="1">
        <v>45394</v>
      </c>
      <c r="B72">
        <v>169.55000305175699</v>
      </c>
      <c r="C72">
        <v>56.188045501708899</v>
      </c>
      <c r="D72">
        <v>417.93609619140602</v>
      </c>
      <c r="E72">
        <v>622.83001708984295</v>
      </c>
      <c r="F72">
        <v>89.718269348144503</v>
      </c>
      <c r="G72">
        <v>88.150901794433594</v>
      </c>
      <c r="H72">
        <v>160.9228515625</v>
      </c>
      <c r="I72">
        <v>82.230911254882798</v>
      </c>
      <c r="J72">
        <v>171.05000305175699</v>
      </c>
      <c r="K72">
        <v>256.45553588867102</v>
      </c>
    </row>
    <row r="73" spans="1:11">
      <c r="A73" s="1">
        <v>45397</v>
      </c>
      <c r="B73">
        <v>167.82000732421801</v>
      </c>
      <c r="C73">
        <v>56.053073883056598</v>
      </c>
      <c r="D73">
        <v>409.75369262695301</v>
      </c>
      <c r="E73">
        <v>607.15002441406205</v>
      </c>
      <c r="F73">
        <v>90.791000366210895</v>
      </c>
      <c r="G73">
        <v>85.966773986816406</v>
      </c>
      <c r="H73">
        <v>159.82191467285099</v>
      </c>
      <c r="I73">
        <v>82.473007202148395</v>
      </c>
      <c r="J73">
        <v>161.47999572753901</v>
      </c>
      <c r="K73">
        <v>254.66247558593699</v>
      </c>
    </row>
    <row r="74" spans="1:11">
      <c r="A74" s="1">
        <v>45398</v>
      </c>
      <c r="B74">
        <v>170.55000305175699</v>
      </c>
      <c r="C74">
        <v>55.975940704345703</v>
      </c>
      <c r="D74">
        <v>410.68487548828102</v>
      </c>
      <c r="E74">
        <v>617.52001953125</v>
      </c>
      <c r="F74">
        <v>91.073791503906193</v>
      </c>
      <c r="G74">
        <v>87.380210876464801</v>
      </c>
      <c r="H74">
        <v>160.34843444824199</v>
      </c>
      <c r="I74">
        <v>82.715087890625</v>
      </c>
      <c r="J74">
        <v>157.11000061035099</v>
      </c>
      <c r="K74">
        <v>253.381744384765</v>
      </c>
    </row>
    <row r="75" spans="1:11">
      <c r="A75" s="1">
        <v>45399</v>
      </c>
      <c r="B75">
        <v>170.21000671386699</v>
      </c>
      <c r="C75">
        <v>56.409786224365199</v>
      </c>
      <c r="D75">
        <v>407.97058105468699</v>
      </c>
      <c r="E75">
        <v>613.69000244140602</v>
      </c>
      <c r="F75">
        <v>92.487831115722599</v>
      </c>
      <c r="G75">
        <v>84.001564025878906</v>
      </c>
      <c r="H75">
        <v>162.24391174316401</v>
      </c>
      <c r="I75">
        <v>83.480072021484304</v>
      </c>
      <c r="J75">
        <v>155.44999694824199</v>
      </c>
      <c r="K75">
        <v>255.43093872070301</v>
      </c>
    </row>
    <row r="76" spans="1:11">
      <c r="A76" s="1">
        <v>45400</v>
      </c>
      <c r="B76">
        <v>170.22999572753901</v>
      </c>
      <c r="C76">
        <v>56.795433044433501</v>
      </c>
      <c r="D76">
        <v>400.47174072265602</v>
      </c>
      <c r="E76">
        <v>610.55999755859295</v>
      </c>
      <c r="F76">
        <v>93.365516662597599</v>
      </c>
      <c r="G76">
        <v>84.637306213378906</v>
      </c>
      <c r="H76">
        <v>164.914794921875</v>
      </c>
      <c r="I76">
        <v>84.390312194824205</v>
      </c>
      <c r="J76">
        <v>149.92999267578099</v>
      </c>
      <c r="K76">
        <v>259.09588623046801</v>
      </c>
    </row>
    <row r="77" spans="1:11">
      <c r="A77" s="1">
        <v>45401</v>
      </c>
      <c r="B77">
        <v>169.82000732421801</v>
      </c>
      <c r="C77">
        <v>58.010204315185497</v>
      </c>
      <c r="D77">
        <v>395.3701171875</v>
      </c>
      <c r="E77">
        <v>555.03997802734295</v>
      </c>
      <c r="F77">
        <v>92.185523986816406</v>
      </c>
      <c r="G77">
        <v>76.169685363769503</v>
      </c>
      <c r="H77">
        <v>166.695388793945</v>
      </c>
      <c r="I77">
        <v>84.835739135742102</v>
      </c>
      <c r="J77">
        <v>147.05000305175699</v>
      </c>
      <c r="K77">
        <v>260.60314941406199</v>
      </c>
    </row>
    <row r="78" spans="1:11">
      <c r="A78" s="1">
        <v>45404</v>
      </c>
      <c r="B78">
        <v>170.47999572753901</v>
      </c>
      <c r="C78">
        <v>58.376564025878899</v>
      </c>
      <c r="D78">
        <v>397.19281005859301</v>
      </c>
      <c r="E78">
        <v>554.59997558593705</v>
      </c>
      <c r="F78">
        <v>91.853965759277301</v>
      </c>
      <c r="G78">
        <v>79.486358642578097</v>
      </c>
      <c r="H78">
        <v>168.92590332031199</v>
      </c>
      <c r="I78">
        <v>85.3876953125</v>
      </c>
      <c r="J78">
        <v>142.05000305175699</v>
      </c>
      <c r="K78">
        <v>261.24359130859301</v>
      </c>
    </row>
    <row r="79" spans="1:11">
      <c r="A79" s="1">
        <v>45405</v>
      </c>
      <c r="B79">
        <v>169.17999267578099</v>
      </c>
      <c r="C79">
        <v>58.463333129882798</v>
      </c>
      <c r="D79">
        <v>403.74075317382801</v>
      </c>
      <c r="E79">
        <v>577.75</v>
      </c>
      <c r="F79">
        <v>91.688163757324205</v>
      </c>
      <c r="G79">
        <v>82.390205383300696</v>
      </c>
      <c r="H79">
        <v>163.90962219238199</v>
      </c>
      <c r="I79">
        <v>85.087501525878906</v>
      </c>
      <c r="J79">
        <v>144.67999267578099</v>
      </c>
      <c r="K79">
        <v>259.775634765625</v>
      </c>
    </row>
    <row r="80" spans="1:11">
      <c r="A80" s="1">
        <v>45406</v>
      </c>
      <c r="B80">
        <v>164.33000183105401</v>
      </c>
      <c r="C80">
        <v>59.340671539306598</v>
      </c>
      <c r="D80">
        <v>405.216705322265</v>
      </c>
      <c r="E80">
        <v>555.11999511718705</v>
      </c>
      <c r="F80">
        <v>92.292793273925696</v>
      </c>
      <c r="G80">
        <v>79.645301818847599</v>
      </c>
      <c r="H80">
        <v>169.83534240722599</v>
      </c>
      <c r="I80">
        <v>85.939643859863196</v>
      </c>
      <c r="J80">
        <v>162.13000488281199</v>
      </c>
      <c r="K80">
        <v>260.56381225585898</v>
      </c>
    </row>
    <row r="81" spans="1:11">
      <c r="A81" s="1">
        <v>45407</v>
      </c>
      <c r="B81">
        <v>166.80999755859301</v>
      </c>
      <c r="C81">
        <v>59.523857116699197</v>
      </c>
      <c r="D81">
        <v>395.29086303710898</v>
      </c>
      <c r="E81">
        <v>564.79998779296795</v>
      </c>
      <c r="F81">
        <v>91.610160827636705</v>
      </c>
      <c r="G81">
        <v>82.599128723144503</v>
      </c>
      <c r="H81">
        <v>169.13648986816401</v>
      </c>
      <c r="I81">
        <v>85.058456420898395</v>
      </c>
      <c r="J81">
        <v>170.17999267578099</v>
      </c>
      <c r="K81">
        <v>253.11576843261699</v>
      </c>
    </row>
    <row r="82" spans="1:11">
      <c r="A82" s="1">
        <v>45408</v>
      </c>
      <c r="B82">
        <v>167.22000122070301</v>
      </c>
      <c r="C82">
        <v>59.523857116699197</v>
      </c>
      <c r="D82">
        <v>402.50247192382801</v>
      </c>
      <c r="E82">
        <v>561.22998046875</v>
      </c>
      <c r="F82">
        <v>91.785690307617102</v>
      </c>
      <c r="G82">
        <v>87.700096130371094</v>
      </c>
      <c r="H82">
        <v>168.08348083496</v>
      </c>
      <c r="I82">
        <v>85.455467224121094</v>
      </c>
      <c r="J82">
        <v>168.28999328613199</v>
      </c>
      <c r="K82">
        <v>247.23414611816401</v>
      </c>
    </row>
    <row r="83" spans="1:11">
      <c r="A83" s="1">
        <v>45411</v>
      </c>
      <c r="B83">
        <v>173.49000549316401</v>
      </c>
      <c r="C83">
        <v>59.813087463378899</v>
      </c>
      <c r="D83">
        <v>398.47073364257801</v>
      </c>
      <c r="E83">
        <v>559.489990234375</v>
      </c>
      <c r="F83">
        <v>91.7271728515625</v>
      </c>
      <c r="G83">
        <v>87.722076416015597</v>
      </c>
      <c r="H83">
        <v>168.61955261230401</v>
      </c>
      <c r="I83">
        <v>85.532943725585895</v>
      </c>
      <c r="J83">
        <v>194.05000305175699</v>
      </c>
      <c r="K83">
        <v>248.69221496582</v>
      </c>
    </row>
    <row r="84" spans="1:11">
      <c r="A84" s="1">
        <v>45412</v>
      </c>
      <c r="B84">
        <v>167.83999633789</v>
      </c>
      <c r="C84">
        <v>59.552776336669901</v>
      </c>
      <c r="D84">
        <v>385.67205810546801</v>
      </c>
      <c r="E84">
        <v>550.64001464843705</v>
      </c>
      <c r="F84">
        <v>89.971832275390597</v>
      </c>
      <c r="G84">
        <v>86.367622375488196</v>
      </c>
      <c r="H84">
        <v>168.39938354492099</v>
      </c>
      <c r="I84">
        <v>85.6878662109375</v>
      </c>
      <c r="J84">
        <v>183.27999877929599</v>
      </c>
      <c r="K84">
        <v>247.42132568359301</v>
      </c>
    </row>
    <row r="85" spans="1:11">
      <c r="A85" s="1">
        <v>45413</v>
      </c>
      <c r="B85">
        <v>171.46000671386699</v>
      </c>
      <c r="C85">
        <v>59.707035064697202</v>
      </c>
      <c r="D85">
        <v>391.22933959960898</v>
      </c>
      <c r="E85">
        <v>551.71002197265602</v>
      </c>
      <c r="F85">
        <v>88.099433898925696</v>
      </c>
      <c r="G85">
        <v>83.007949829101506</v>
      </c>
      <c r="H85">
        <v>167.67182922363199</v>
      </c>
      <c r="I85">
        <v>72.082786560058594</v>
      </c>
      <c r="J85">
        <v>179.99000549316401</v>
      </c>
      <c r="K85">
        <v>250.928619384765</v>
      </c>
    </row>
    <row r="86" spans="1:11">
      <c r="A86" s="1">
        <v>45414</v>
      </c>
      <c r="B86">
        <v>178.850006103515</v>
      </c>
      <c r="C86">
        <v>59.764877319335902</v>
      </c>
      <c r="D86">
        <v>394.10211181640602</v>
      </c>
      <c r="E86">
        <v>565.15002441406205</v>
      </c>
      <c r="F86">
        <v>90.118103027343693</v>
      </c>
      <c r="G86">
        <v>85.782852172851506</v>
      </c>
      <c r="H86">
        <v>167.95901489257801</v>
      </c>
      <c r="I86">
        <v>72.557266235351506</v>
      </c>
      <c r="J86">
        <v>180.009994506835</v>
      </c>
      <c r="K86">
        <v>248.75134277343699</v>
      </c>
    </row>
    <row r="87" spans="1:11">
      <c r="A87" s="1">
        <v>45415</v>
      </c>
      <c r="B87">
        <v>179.78999328613199</v>
      </c>
      <c r="C87">
        <v>59.9384155273437</v>
      </c>
      <c r="D87">
        <v>402.839263916015</v>
      </c>
      <c r="E87">
        <v>579.34002685546795</v>
      </c>
      <c r="F87">
        <v>89.864547729492102</v>
      </c>
      <c r="G87">
        <v>88.753669738769503</v>
      </c>
      <c r="H87">
        <v>168.62911987304599</v>
      </c>
      <c r="I87">
        <v>70.794891357421804</v>
      </c>
      <c r="J87">
        <v>181.19000244140599</v>
      </c>
      <c r="K87">
        <v>248.25874328613199</v>
      </c>
    </row>
    <row r="88" spans="1:11">
      <c r="A88" s="1">
        <v>45418</v>
      </c>
      <c r="B88">
        <v>178.350006103515</v>
      </c>
      <c r="C88">
        <v>60.1119575500488</v>
      </c>
      <c r="D88">
        <v>409.65463256835898</v>
      </c>
      <c r="E88">
        <v>596.969970703125</v>
      </c>
      <c r="F88">
        <v>91.044540405273395</v>
      </c>
      <c r="G88">
        <v>92.103324890136705</v>
      </c>
      <c r="H88">
        <v>168.313232421875</v>
      </c>
      <c r="I88">
        <v>70.591545104980398</v>
      </c>
      <c r="J88">
        <v>184.759994506835</v>
      </c>
      <c r="K88">
        <v>249.32273864746</v>
      </c>
    </row>
    <row r="89" spans="1:11">
      <c r="A89" s="1">
        <v>45419</v>
      </c>
      <c r="B89">
        <v>176.71000671386699</v>
      </c>
      <c r="C89">
        <v>60.372264862060497</v>
      </c>
      <c r="D89">
        <v>405.49407958984301</v>
      </c>
      <c r="E89">
        <v>606</v>
      </c>
      <c r="F89">
        <v>91.454124450683594</v>
      </c>
      <c r="G89">
        <v>90.517967224121094</v>
      </c>
      <c r="H89">
        <v>170.41928100585901</v>
      </c>
      <c r="I89">
        <v>70.204216003417898</v>
      </c>
      <c r="J89">
        <v>177.80999755859301</v>
      </c>
      <c r="K89">
        <v>251.08622741699199</v>
      </c>
    </row>
    <row r="90" spans="1:11">
      <c r="A90" s="1">
        <v>45420</v>
      </c>
      <c r="B90">
        <v>180.350006103515</v>
      </c>
      <c r="C90">
        <v>60.594005584716797</v>
      </c>
      <c r="D90">
        <v>406.68283081054602</v>
      </c>
      <c r="E90">
        <v>609.469970703125</v>
      </c>
      <c r="F90">
        <v>91.268844604492102</v>
      </c>
      <c r="G90">
        <v>90.376022338867102</v>
      </c>
      <c r="H90">
        <v>169.83534240722599</v>
      </c>
      <c r="I90">
        <v>71.172546386718693</v>
      </c>
      <c r="J90">
        <v>174.72000122070301</v>
      </c>
      <c r="K90">
        <v>249.21438598632801</v>
      </c>
    </row>
    <row r="91" spans="1:11">
      <c r="A91" s="1">
        <v>45421</v>
      </c>
      <c r="B91">
        <v>181.25</v>
      </c>
      <c r="C91">
        <v>60.622932434082003</v>
      </c>
      <c r="D91">
        <v>408.44610595703102</v>
      </c>
      <c r="E91">
        <v>612.09002685546795</v>
      </c>
      <c r="F91">
        <v>91.073791503906193</v>
      </c>
      <c r="G91">
        <v>88.711685180664006</v>
      </c>
      <c r="H91">
        <v>170.45758056640599</v>
      </c>
      <c r="I91">
        <v>73.283515930175696</v>
      </c>
      <c r="J91">
        <v>171.97000122070301</v>
      </c>
      <c r="K91">
        <v>251.82513427734301</v>
      </c>
    </row>
    <row r="92" spans="1:11">
      <c r="A92" s="1">
        <v>45422</v>
      </c>
      <c r="B92">
        <v>178.509994506835</v>
      </c>
      <c r="C92">
        <v>60.989288330078097</v>
      </c>
      <c r="D92">
        <v>410.84332275390602</v>
      </c>
      <c r="E92">
        <v>610.86999511718705</v>
      </c>
      <c r="F92">
        <v>88.6845703125</v>
      </c>
      <c r="G92">
        <v>89.842239379882798</v>
      </c>
      <c r="H92">
        <v>172.11372375488199</v>
      </c>
      <c r="I92">
        <v>73.699897766113196</v>
      </c>
      <c r="J92">
        <v>168.47000122070301</v>
      </c>
      <c r="K92">
        <v>253.125564575195</v>
      </c>
    </row>
    <row r="93" spans="1:11">
      <c r="A93" s="1">
        <v>45425</v>
      </c>
      <c r="B93">
        <v>178.44000244140599</v>
      </c>
      <c r="C93">
        <v>61.297805786132798</v>
      </c>
      <c r="D93">
        <v>409.83294677734301</v>
      </c>
      <c r="E93">
        <v>616.59002685546795</v>
      </c>
      <c r="F93">
        <v>90.420425415039006</v>
      </c>
      <c r="G93">
        <v>90.363029479980398</v>
      </c>
      <c r="H93">
        <v>173.17631530761699</v>
      </c>
      <c r="I93">
        <v>73.767677307128906</v>
      </c>
      <c r="J93">
        <v>171.88999938964801</v>
      </c>
      <c r="K93">
        <v>249.92370605468699</v>
      </c>
    </row>
    <row r="94" spans="1:11">
      <c r="A94" s="1">
        <v>45426</v>
      </c>
      <c r="B94">
        <v>180.759994506835</v>
      </c>
      <c r="C94">
        <v>60.835033416747997</v>
      </c>
      <c r="D94">
        <v>412.64627075195301</v>
      </c>
      <c r="E94">
        <v>613.65997314453102</v>
      </c>
      <c r="F94">
        <v>90.488677978515597</v>
      </c>
      <c r="G94">
        <v>91.319656372070298</v>
      </c>
      <c r="H94">
        <v>172.19030761718699</v>
      </c>
      <c r="I94">
        <v>73.235092163085895</v>
      </c>
      <c r="J94">
        <v>177.55000305175699</v>
      </c>
      <c r="K94">
        <v>250.130599975585</v>
      </c>
    </row>
    <row r="95" spans="1:11">
      <c r="A95" s="1">
        <v>45427</v>
      </c>
      <c r="B95">
        <v>176.99000549316401</v>
      </c>
      <c r="C95">
        <v>60.863960266113203</v>
      </c>
      <c r="D95">
        <v>419.86090087890602</v>
      </c>
      <c r="E95">
        <v>613.52001953125</v>
      </c>
      <c r="F95">
        <v>89.396453857421804</v>
      </c>
      <c r="G95">
        <v>94.592346191406193</v>
      </c>
      <c r="H95">
        <v>171.79782104492099</v>
      </c>
      <c r="I95">
        <v>73.302871704101506</v>
      </c>
      <c r="J95">
        <v>173.99000549316401</v>
      </c>
      <c r="K95">
        <v>251.84484863281199</v>
      </c>
    </row>
    <row r="96" spans="1:11">
      <c r="A96" s="1">
        <v>45428</v>
      </c>
      <c r="B96">
        <v>182.96000671386699</v>
      </c>
      <c r="C96">
        <v>61.047142028808501</v>
      </c>
      <c r="D96">
        <v>417.78683471679602</v>
      </c>
      <c r="E96">
        <v>610.52001953125</v>
      </c>
      <c r="F96">
        <v>89.493965148925696</v>
      </c>
      <c r="G96">
        <v>94.321449279785099</v>
      </c>
      <c r="H96">
        <v>175.29197692871</v>
      </c>
      <c r="I96">
        <v>73.449234008789006</v>
      </c>
      <c r="J96">
        <v>174.83999633789</v>
      </c>
      <c r="K96">
        <v>252.583740234375</v>
      </c>
    </row>
    <row r="97" spans="1:11">
      <c r="A97" s="1">
        <v>45429</v>
      </c>
      <c r="B97">
        <v>184.94999694824199</v>
      </c>
      <c r="C97">
        <v>60.767547607421797</v>
      </c>
      <c r="D97">
        <v>417.01278686523398</v>
      </c>
      <c r="E97">
        <v>621.09997558593705</v>
      </c>
      <c r="F97">
        <v>89.893814086914006</v>
      </c>
      <c r="G97">
        <v>92.442192077636705</v>
      </c>
      <c r="H97">
        <v>174.41123962402301</v>
      </c>
      <c r="I97">
        <v>75.956733703613196</v>
      </c>
      <c r="J97">
        <v>177.46000671386699</v>
      </c>
      <c r="K97">
        <v>253.588607788085</v>
      </c>
    </row>
    <row r="98" spans="1:11">
      <c r="A98" s="1">
        <v>45432</v>
      </c>
      <c r="B98">
        <v>186.61000061035099</v>
      </c>
      <c r="C98">
        <v>60.324058532714801</v>
      </c>
      <c r="D98">
        <v>422.103759765625</v>
      </c>
      <c r="E98">
        <v>640.82000732421795</v>
      </c>
      <c r="F98">
        <v>89.493965148925696</v>
      </c>
      <c r="G98">
        <v>94.742279052734304</v>
      </c>
      <c r="H98">
        <v>172.61151123046801</v>
      </c>
      <c r="I98">
        <v>75.654281616210895</v>
      </c>
      <c r="J98">
        <v>174.94999694824199</v>
      </c>
      <c r="K98">
        <v>249.35231018066401</v>
      </c>
    </row>
    <row r="99" spans="1:11">
      <c r="A99" s="1">
        <v>45433</v>
      </c>
      <c r="B99">
        <v>184.77999877929599</v>
      </c>
      <c r="C99">
        <v>60.65185546875</v>
      </c>
      <c r="D99">
        <v>425.77560424804602</v>
      </c>
      <c r="E99">
        <v>650.60998535156205</v>
      </c>
      <c r="F99">
        <v>90.517936706542898</v>
      </c>
      <c r="G99">
        <v>95.348045349121094</v>
      </c>
      <c r="H99">
        <v>173.34864807128901</v>
      </c>
      <c r="I99">
        <v>75.829895019531193</v>
      </c>
      <c r="J99">
        <v>186.600006103515</v>
      </c>
      <c r="K99">
        <v>250.130599975585</v>
      </c>
    </row>
    <row r="100" spans="1:11">
      <c r="A100" s="1">
        <v>45434</v>
      </c>
      <c r="B100">
        <v>186.27999877929599</v>
      </c>
      <c r="C100">
        <v>60.738628387451101</v>
      </c>
      <c r="D100">
        <v>427.24432373046801</v>
      </c>
      <c r="E100">
        <v>640.469970703125</v>
      </c>
      <c r="F100">
        <v>90.205871582031193</v>
      </c>
      <c r="G100">
        <v>94.912223815917898</v>
      </c>
      <c r="H100">
        <v>174.31552124023401</v>
      </c>
      <c r="I100">
        <v>78.756935119628906</v>
      </c>
      <c r="J100">
        <v>180.11000061035099</v>
      </c>
      <c r="K100">
        <v>252.56401062011699</v>
      </c>
    </row>
    <row r="101" spans="1:11">
      <c r="A101" s="1">
        <v>45435</v>
      </c>
      <c r="B101">
        <v>172.21000671386699</v>
      </c>
      <c r="C101">
        <v>59.861289978027301</v>
      </c>
      <c r="D101">
        <v>423.75112915039</v>
      </c>
      <c r="E101">
        <v>635.66998291015602</v>
      </c>
      <c r="F101">
        <v>89.133155822753906</v>
      </c>
      <c r="G101">
        <v>103.757698059082</v>
      </c>
      <c r="H101">
        <v>171.61592102050699</v>
      </c>
      <c r="I101">
        <v>76.405540466308594</v>
      </c>
      <c r="J101">
        <v>173.74000549316401</v>
      </c>
      <c r="K101">
        <v>248.76118469238199</v>
      </c>
    </row>
    <row r="102" spans="1:11">
      <c r="A102" s="1">
        <v>45436</v>
      </c>
      <c r="B102">
        <v>174.52000427246</v>
      </c>
      <c r="C102">
        <v>59.774524688720703</v>
      </c>
      <c r="D102">
        <v>426.88705444335898</v>
      </c>
      <c r="E102">
        <v>646.75</v>
      </c>
      <c r="F102">
        <v>89.474464416503906</v>
      </c>
      <c r="G102">
        <v>106.426635742187</v>
      </c>
      <c r="H102">
        <v>170.39057922363199</v>
      </c>
      <c r="I102">
        <v>76.951934814453097</v>
      </c>
      <c r="J102">
        <v>179.24000549316401</v>
      </c>
      <c r="K102">
        <v>249.45082092285099</v>
      </c>
    </row>
    <row r="103" spans="1:11">
      <c r="A103" s="1">
        <v>45440</v>
      </c>
      <c r="B103">
        <v>175.08000183105401</v>
      </c>
      <c r="C103">
        <v>59.600978851318303</v>
      </c>
      <c r="D103">
        <v>427.04586791992102</v>
      </c>
      <c r="E103">
        <v>649</v>
      </c>
      <c r="F103">
        <v>89.718269348144503</v>
      </c>
      <c r="G103">
        <v>113.855674743652</v>
      </c>
      <c r="H103">
        <v>165.97741699218699</v>
      </c>
      <c r="I103">
        <v>75.595741271972599</v>
      </c>
      <c r="J103">
        <v>176.75</v>
      </c>
      <c r="K103">
        <v>246.91888427734301</v>
      </c>
    </row>
    <row r="104" spans="1:11">
      <c r="A104" s="1">
        <v>45441</v>
      </c>
      <c r="B104">
        <v>171.64999389648401</v>
      </c>
      <c r="C104">
        <v>59.485294342041001</v>
      </c>
      <c r="D104">
        <v>425.90463256835898</v>
      </c>
      <c r="E104">
        <v>654.61999511718705</v>
      </c>
      <c r="F104">
        <v>89.396453857421804</v>
      </c>
      <c r="G104">
        <v>114.77930450439401</v>
      </c>
      <c r="H104">
        <v>163.84260559082</v>
      </c>
      <c r="I104">
        <v>75.010330200195298</v>
      </c>
      <c r="J104">
        <v>176.19000244140599</v>
      </c>
      <c r="K104">
        <v>245.98294067382801</v>
      </c>
    </row>
    <row r="105" spans="1:11">
      <c r="A105" s="1">
        <v>45442</v>
      </c>
      <c r="B105">
        <v>172.75</v>
      </c>
      <c r="C105">
        <v>59.745594024658203</v>
      </c>
      <c r="D105">
        <v>411.51492309570301</v>
      </c>
      <c r="E105">
        <v>647.65997314453102</v>
      </c>
      <c r="F105">
        <v>91.132308959960895</v>
      </c>
      <c r="G105">
        <v>110.45602416992099</v>
      </c>
      <c r="H105">
        <v>163.20121765136699</v>
      </c>
      <c r="I105">
        <v>76.844612121582003</v>
      </c>
      <c r="J105">
        <v>178.78999328613199</v>
      </c>
      <c r="K105">
        <v>247.63807678222599</v>
      </c>
    </row>
    <row r="106" spans="1:11">
      <c r="A106" s="1">
        <v>45443</v>
      </c>
      <c r="B106">
        <v>177.61000061035099</v>
      </c>
      <c r="C106">
        <v>60.671134948730398</v>
      </c>
      <c r="D106">
        <v>411.971435546875</v>
      </c>
      <c r="E106">
        <v>641.61999511718705</v>
      </c>
      <c r="F106">
        <v>92.692634582519503</v>
      </c>
      <c r="G106">
        <v>109.589378356933</v>
      </c>
      <c r="H106">
        <v>165.51788330078099</v>
      </c>
      <c r="I106">
        <v>78.269088745117102</v>
      </c>
      <c r="J106">
        <v>178.08000183105401</v>
      </c>
      <c r="K106">
        <v>251.50987243652301</v>
      </c>
    </row>
    <row r="107" spans="1:11">
      <c r="A107" s="1">
        <v>45446</v>
      </c>
      <c r="B107">
        <v>184.57000732421801</v>
      </c>
      <c r="C107">
        <v>60.671134948730398</v>
      </c>
      <c r="D107">
        <v>410.37365722656199</v>
      </c>
      <c r="E107">
        <v>633.78997802734295</v>
      </c>
      <c r="F107">
        <v>92.418502807617102</v>
      </c>
      <c r="G107">
        <v>114.95423889160099</v>
      </c>
      <c r="H107">
        <v>163.919189453125</v>
      </c>
      <c r="I107">
        <v>80.0838623046875</v>
      </c>
      <c r="J107">
        <v>176.28999328613199</v>
      </c>
      <c r="K107">
        <v>251.26356506347599</v>
      </c>
    </row>
    <row r="108" spans="1:11">
      <c r="A108" s="1">
        <v>45447</v>
      </c>
      <c r="B108">
        <v>188.61999511718699</v>
      </c>
      <c r="C108">
        <v>61.644878387451101</v>
      </c>
      <c r="D108">
        <v>412.90426635742102</v>
      </c>
      <c r="E108">
        <v>631.61999511718705</v>
      </c>
      <c r="F108">
        <v>92.751358032226506</v>
      </c>
      <c r="G108">
        <v>116.390670776367</v>
      </c>
      <c r="H108">
        <v>166.46560668945301</v>
      </c>
      <c r="I108">
        <v>80.776603698730398</v>
      </c>
      <c r="J108">
        <v>174.77000427246</v>
      </c>
      <c r="K108">
        <v>251.40150451660099</v>
      </c>
    </row>
    <row r="109" spans="1:11">
      <c r="A109" s="1">
        <v>45448</v>
      </c>
      <c r="B109">
        <v>189.850006103515</v>
      </c>
      <c r="C109">
        <v>61.625598907470703</v>
      </c>
      <c r="D109">
        <v>420.78390502929602</v>
      </c>
      <c r="E109">
        <v>650.27001953125</v>
      </c>
      <c r="F109">
        <v>92.340187072753906</v>
      </c>
      <c r="G109">
        <v>122.39128112792901</v>
      </c>
      <c r="H109">
        <v>166.08270263671801</v>
      </c>
      <c r="I109">
        <v>79.186241149902301</v>
      </c>
      <c r="J109">
        <v>175</v>
      </c>
      <c r="K109">
        <v>249.85475158691401</v>
      </c>
    </row>
    <row r="110" spans="1:11">
      <c r="A110" s="1">
        <v>45449</v>
      </c>
      <c r="B110">
        <v>191.419998168945</v>
      </c>
      <c r="C110">
        <v>61.847347259521399</v>
      </c>
      <c r="D110">
        <v>421.28997802734301</v>
      </c>
      <c r="E110">
        <v>648.52001953125</v>
      </c>
      <c r="F110">
        <v>93.710800170898395</v>
      </c>
      <c r="G110">
        <v>120.94985961914</v>
      </c>
      <c r="H110">
        <v>165.80509948730401</v>
      </c>
      <c r="I110">
        <v>79.488693237304602</v>
      </c>
      <c r="J110">
        <v>177.94000244140599</v>
      </c>
      <c r="K110">
        <v>250.75126647949199</v>
      </c>
    </row>
    <row r="111" spans="1:11">
      <c r="A111" s="1">
        <v>45450</v>
      </c>
      <c r="B111">
        <v>190.24000549316401</v>
      </c>
      <c r="C111">
        <v>61.615959167480398</v>
      </c>
      <c r="D111">
        <v>420.62509155273398</v>
      </c>
      <c r="E111">
        <v>641.469970703125</v>
      </c>
      <c r="F111">
        <v>94.523384094238196</v>
      </c>
      <c r="G111">
        <v>120.83990478515599</v>
      </c>
      <c r="H111">
        <v>165.02838134765599</v>
      </c>
      <c r="I111">
        <v>79.449668884277301</v>
      </c>
      <c r="J111">
        <v>177.47999572753901</v>
      </c>
      <c r="K111">
        <v>251.70692443847599</v>
      </c>
    </row>
    <row r="112" spans="1:11">
      <c r="A112" s="1">
        <v>45453</v>
      </c>
      <c r="B112">
        <v>190.11999511718699</v>
      </c>
      <c r="C112">
        <v>61.307449340820298</v>
      </c>
      <c r="D112">
        <v>424.614501953125</v>
      </c>
      <c r="E112">
        <v>644.5</v>
      </c>
      <c r="F112">
        <v>93.984924316406193</v>
      </c>
      <c r="G112">
        <v>121.74153900146401</v>
      </c>
      <c r="H112">
        <v>160.06904602050699</v>
      </c>
      <c r="I112">
        <v>79.615531921386705</v>
      </c>
      <c r="J112">
        <v>173.78999328613199</v>
      </c>
      <c r="K112">
        <v>251.83499145507801</v>
      </c>
    </row>
    <row r="113" spans="1:11">
      <c r="A113" s="1">
        <v>45454</v>
      </c>
      <c r="B113">
        <v>185.5</v>
      </c>
      <c r="C113">
        <v>61.268882751464801</v>
      </c>
      <c r="D113">
        <v>429.38790893554602</v>
      </c>
      <c r="E113">
        <v>648.54998779296795</v>
      </c>
      <c r="F113">
        <v>93.857650756835895</v>
      </c>
      <c r="G113">
        <v>120.87181854248</v>
      </c>
      <c r="H113">
        <v>159.26821899414</v>
      </c>
      <c r="I113">
        <v>77.947120666503906</v>
      </c>
      <c r="J113">
        <v>170.66000366210901</v>
      </c>
      <c r="K113">
        <v>253.401443481445</v>
      </c>
    </row>
    <row r="114" spans="1:11">
      <c r="A114" s="1">
        <v>45455</v>
      </c>
      <c r="B114">
        <v>182.669998168945</v>
      </c>
      <c r="C114">
        <v>60.622932434082003</v>
      </c>
      <c r="D114">
        <v>437.70416259765602</v>
      </c>
      <c r="E114">
        <v>650.05999755859295</v>
      </c>
      <c r="F114">
        <v>91.713607788085895</v>
      </c>
      <c r="G114">
        <v>125.16046142578099</v>
      </c>
      <c r="H114">
        <v>158.07177734375</v>
      </c>
      <c r="I114">
        <v>77.449516296386705</v>
      </c>
      <c r="J114">
        <v>177.28999328613199</v>
      </c>
      <c r="K114">
        <v>252.12071228027301</v>
      </c>
    </row>
    <row r="115" spans="1:11">
      <c r="A115" s="1">
        <v>45456</v>
      </c>
      <c r="B115">
        <v>180.69999694824199</v>
      </c>
      <c r="C115">
        <v>60.728988647460902</v>
      </c>
      <c r="D115">
        <v>438.22018432617102</v>
      </c>
      <c r="E115">
        <v>653.260009765625</v>
      </c>
      <c r="F115">
        <v>92.203117370605398</v>
      </c>
      <c r="G115">
        <v>129.56906127929599</v>
      </c>
      <c r="H115">
        <v>157.58938598632801</v>
      </c>
      <c r="I115">
        <v>78.288604736328097</v>
      </c>
      <c r="J115">
        <v>182.47000122070301</v>
      </c>
      <c r="K115">
        <v>252.061599731445</v>
      </c>
    </row>
    <row r="116" spans="1:11">
      <c r="A116" s="1">
        <v>45457</v>
      </c>
      <c r="B116">
        <v>177.27000427246</v>
      </c>
      <c r="C116">
        <v>60.772701263427699</v>
      </c>
      <c r="D116">
        <v>439.20266723632801</v>
      </c>
      <c r="E116">
        <v>669.38000488281205</v>
      </c>
      <c r="F116">
        <v>91.429702758789006</v>
      </c>
      <c r="G116">
        <v>131.83836364746</v>
      </c>
      <c r="H116">
        <v>158.052490234375</v>
      </c>
      <c r="I116">
        <v>77.712959289550696</v>
      </c>
      <c r="J116">
        <v>178.009994506835</v>
      </c>
      <c r="K116">
        <v>251.50003051757801</v>
      </c>
    </row>
    <row r="117" spans="1:11">
      <c r="A117" s="1">
        <v>45460</v>
      </c>
      <c r="B117">
        <v>178.38999938964801</v>
      </c>
      <c r="C117">
        <v>60.840713500976499</v>
      </c>
      <c r="D117">
        <v>444.95852661132801</v>
      </c>
      <c r="E117">
        <v>675.83001708984295</v>
      </c>
      <c r="F117">
        <v>93.005912780761705</v>
      </c>
      <c r="G117">
        <v>130.93864440917901</v>
      </c>
      <c r="H117">
        <v>160.30059814453099</v>
      </c>
      <c r="I117">
        <v>79.352104187011705</v>
      </c>
      <c r="J117">
        <v>187.44000244140599</v>
      </c>
      <c r="K117">
        <v>252.68225097656199</v>
      </c>
    </row>
    <row r="118" spans="1:11">
      <c r="A118" s="1">
        <v>45461</v>
      </c>
      <c r="B118">
        <v>174.99000549316401</v>
      </c>
      <c r="C118">
        <v>60.850429534912102</v>
      </c>
      <c r="D118">
        <v>442.94396972656199</v>
      </c>
      <c r="E118">
        <v>685.66998291015602</v>
      </c>
      <c r="F118">
        <v>92.79052734375</v>
      </c>
      <c r="G118">
        <v>135.537185668945</v>
      </c>
      <c r="H118">
        <v>160.628646850585</v>
      </c>
      <c r="I118">
        <v>78.249580383300696</v>
      </c>
      <c r="J118">
        <v>184.86000061035099</v>
      </c>
      <c r="K118">
        <v>251.69706726074199</v>
      </c>
    </row>
    <row r="119" spans="1:11">
      <c r="A119" s="1">
        <v>45463</v>
      </c>
      <c r="B119">
        <v>176.30000305175699</v>
      </c>
      <c r="C119">
        <v>60.413215637207003</v>
      </c>
      <c r="D119">
        <v>442.308837890625</v>
      </c>
      <c r="E119">
        <v>679.030029296875</v>
      </c>
      <c r="F119">
        <v>93.563949584960895</v>
      </c>
      <c r="G119">
        <v>130.73870849609301</v>
      </c>
      <c r="H119">
        <v>160.82160949707</v>
      </c>
      <c r="I119">
        <v>77.781257629394503</v>
      </c>
      <c r="J119">
        <v>181.57000732421801</v>
      </c>
      <c r="K119">
        <v>256.091064453125</v>
      </c>
    </row>
    <row r="120" spans="1:11">
      <c r="A120" s="1">
        <v>45464</v>
      </c>
      <c r="B120">
        <v>176.55999755859301</v>
      </c>
      <c r="C120">
        <v>60.986454010009702</v>
      </c>
      <c r="D120">
        <v>446.357818603515</v>
      </c>
      <c r="E120">
        <v>686.11999511718705</v>
      </c>
      <c r="F120">
        <v>95.140151977539006</v>
      </c>
      <c r="G120">
        <v>126.53002166748</v>
      </c>
      <c r="H120">
        <v>161.40054321289</v>
      </c>
      <c r="I120">
        <v>77.966644287109304</v>
      </c>
      <c r="J120">
        <v>183.009994506835</v>
      </c>
      <c r="K120">
        <v>258.52444458007801</v>
      </c>
    </row>
    <row r="121" spans="1:11">
      <c r="A121" s="1">
        <v>45467</v>
      </c>
      <c r="B121">
        <v>179.100006103515</v>
      </c>
      <c r="C121">
        <v>62.152355194091797</v>
      </c>
      <c r="D121">
        <v>444.26388549804602</v>
      </c>
      <c r="E121">
        <v>669.02001953125</v>
      </c>
      <c r="F121">
        <v>95.130363464355398</v>
      </c>
      <c r="G121">
        <v>118.072700500488</v>
      </c>
      <c r="H121">
        <v>162.17242431640599</v>
      </c>
      <c r="I121">
        <v>77.791015625</v>
      </c>
      <c r="J121">
        <v>182.58000183105401</v>
      </c>
      <c r="K121">
        <v>262.49478149414</v>
      </c>
    </row>
    <row r="122" spans="1:11">
      <c r="A122" s="1">
        <v>45468</v>
      </c>
      <c r="B122">
        <v>175.100006103515</v>
      </c>
      <c r="C122">
        <v>62.026050567626903</v>
      </c>
      <c r="D122">
        <v>447.51889038085898</v>
      </c>
      <c r="E122">
        <v>672.40997314453102</v>
      </c>
      <c r="F122">
        <v>92.761154174804602</v>
      </c>
      <c r="G122">
        <v>126.050170898437</v>
      </c>
      <c r="H122">
        <v>161.46807861328099</v>
      </c>
      <c r="I122">
        <v>77.351959228515597</v>
      </c>
      <c r="J122">
        <v>187.350006103515</v>
      </c>
      <c r="K122">
        <v>259.17468261718699</v>
      </c>
    </row>
    <row r="123" spans="1:11">
      <c r="A123" s="1">
        <v>45469</v>
      </c>
      <c r="B123">
        <v>178.5</v>
      </c>
      <c r="C123">
        <v>62.230083465576101</v>
      </c>
      <c r="D123">
        <v>448.71966552734301</v>
      </c>
      <c r="E123">
        <v>677.69000244140602</v>
      </c>
      <c r="F123">
        <v>92.085639953613196</v>
      </c>
      <c r="G123">
        <v>126.360092163085</v>
      </c>
      <c r="H123">
        <v>160.87951660156199</v>
      </c>
      <c r="I123">
        <v>77.225120544433594</v>
      </c>
      <c r="J123">
        <v>196.36999511718699</v>
      </c>
      <c r="K123">
        <v>259.74609375</v>
      </c>
    </row>
    <row r="124" spans="1:11">
      <c r="A124" s="1">
        <v>45470</v>
      </c>
      <c r="B124">
        <v>182.509994506835</v>
      </c>
      <c r="C124">
        <v>62.094058990478501</v>
      </c>
      <c r="D124">
        <v>449.40444946289</v>
      </c>
      <c r="E124">
        <v>684.34002685546795</v>
      </c>
      <c r="F124">
        <v>92.212905883789006</v>
      </c>
      <c r="G124">
        <v>123.950843811035</v>
      </c>
      <c r="H124">
        <v>160.41638183593699</v>
      </c>
      <c r="I124">
        <v>77.312934875488196</v>
      </c>
      <c r="J124">
        <v>197.419998168945</v>
      </c>
      <c r="K124">
        <v>260.12045288085898</v>
      </c>
    </row>
    <row r="125" spans="1:11">
      <c r="A125" s="1">
        <v>45471</v>
      </c>
      <c r="B125">
        <v>182.009994506835</v>
      </c>
      <c r="C125">
        <v>61.8414497375488</v>
      </c>
      <c r="D125">
        <v>443.54934692382801</v>
      </c>
      <c r="E125">
        <v>674.88000488281205</v>
      </c>
      <c r="F125">
        <v>73.7879638671875</v>
      </c>
      <c r="G125">
        <v>123.50099182128901</v>
      </c>
      <c r="H125">
        <v>159.13314819335901</v>
      </c>
      <c r="I125">
        <v>75.956733703613196</v>
      </c>
      <c r="J125">
        <v>197.88000488281199</v>
      </c>
      <c r="K125">
        <v>259.1220703125</v>
      </c>
    </row>
    <row r="126" spans="1:11">
      <c r="A126" s="1">
        <v>45474</v>
      </c>
      <c r="B126">
        <v>186.69999694824199</v>
      </c>
      <c r="C126">
        <v>61.481960296630803</v>
      </c>
      <c r="D126">
        <v>453.25494384765602</v>
      </c>
      <c r="E126">
        <v>673.60998535156205</v>
      </c>
      <c r="F126">
        <v>75.217308044433594</v>
      </c>
      <c r="G126">
        <v>124.26074981689401</v>
      </c>
      <c r="H126">
        <v>157.16482543945301</v>
      </c>
      <c r="I126">
        <v>75.254234313964801</v>
      </c>
      <c r="J126">
        <v>209.86000061035099</v>
      </c>
      <c r="K126">
        <v>256.43344116210898</v>
      </c>
    </row>
    <row r="127" spans="1:11">
      <c r="A127" s="1">
        <v>45475</v>
      </c>
      <c r="B127">
        <v>185.419998168945</v>
      </c>
      <c r="C127">
        <v>61.355659484863203</v>
      </c>
      <c r="D127">
        <v>455.78552246093699</v>
      </c>
      <c r="E127">
        <v>679.58001708984295</v>
      </c>
      <c r="F127">
        <v>74.443893432617102</v>
      </c>
      <c r="G127">
        <v>122.631256103515</v>
      </c>
      <c r="H127">
        <v>157.83058166503901</v>
      </c>
      <c r="I127">
        <v>74.961532592773395</v>
      </c>
      <c r="J127">
        <v>231.259994506835</v>
      </c>
      <c r="K127">
        <v>259.08255004882801</v>
      </c>
    </row>
    <row r="128" spans="1:11">
      <c r="A128" s="1">
        <v>45476</v>
      </c>
      <c r="B128">
        <v>184.30999755859301</v>
      </c>
      <c r="C128">
        <v>61.530544281005803</v>
      </c>
      <c r="D128">
        <v>457.26416015625</v>
      </c>
      <c r="E128">
        <v>682.510009765625</v>
      </c>
      <c r="F128">
        <v>73.660682678222599</v>
      </c>
      <c r="G128">
        <v>128.239486694335</v>
      </c>
      <c r="H128">
        <v>156.88504028320301</v>
      </c>
      <c r="I128">
        <v>74.405403137207003</v>
      </c>
      <c r="J128">
        <v>246.38999938964801</v>
      </c>
      <c r="K128">
        <v>257.34280395507801</v>
      </c>
    </row>
    <row r="129" spans="1:11">
      <c r="A129" s="1">
        <v>45478</v>
      </c>
      <c r="B129">
        <v>184.83000183105401</v>
      </c>
      <c r="C129">
        <v>61.9483222961425</v>
      </c>
      <c r="D129">
        <v>464.00247192382801</v>
      </c>
      <c r="E129">
        <v>690.65002441406205</v>
      </c>
      <c r="F129">
        <v>73.846694946289006</v>
      </c>
      <c r="G129">
        <v>125.79026031494099</v>
      </c>
      <c r="H129">
        <v>158.61212158203099</v>
      </c>
      <c r="I129">
        <v>74.200508117675696</v>
      </c>
      <c r="J129">
        <v>251.52000427246</v>
      </c>
      <c r="K129">
        <v>258.59817504882801</v>
      </c>
    </row>
    <row r="130" spans="1:11">
      <c r="A130" s="1">
        <v>45481</v>
      </c>
      <c r="B130">
        <v>185.83999633789</v>
      </c>
      <c r="C130">
        <v>61.171051025390597</v>
      </c>
      <c r="D130">
        <v>462.69256591796801</v>
      </c>
      <c r="E130">
        <v>685.739990234375</v>
      </c>
      <c r="F130">
        <v>71.516647338867102</v>
      </c>
      <c r="G130">
        <v>128.15950012207</v>
      </c>
      <c r="H130">
        <v>156.42189025878901</v>
      </c>
      <c r="I130">
        <v>72.756507873535099</v>
      </c>
      <c r="J130">
        <v>252.94000244140599</v>
      </c>
      <c r="K130">
        <v>256.74972534179602</v>
      </c>
    </row>
    <row r="131" spans="1:11">
      <c r="A131" s="1">
        <v>45482</v>
      </c>
      <c r="B131">
        <v>183.24000549316401</v>
      </c>
      <c r="C131">
        <v>60.908725738525298</v>
      </c>
      <c r="D131">
        <v>456.04351806640602</v>
      </c>
      <c r="E131">
        <v>685.739990234375</v>
      </c>
      <c r="F131">
        <v>70.939025878906193</v>
      </c>
      <c r="G131">
        <v>131.33851623535099</v>
      </c>
      <c r="H131">
        <v>156.20964050292901</v>
      </c>
      <c r="I131">
        <v>70.980758666992102</v>
      </c>
      <c r="J131">
        <v>262.329986572265</v>
      </c>
      <c r="K131">
        <v>254.377349853515</v>
      </c>
    </row>
    <row r="132" spans="1:11">
      <c r="A132" s="1">
        <v>45483</v>
      </c>
      <c r="B132">
        <v>183.72999572753901</v>
      </c>
      <c r="C132">
        <v>61.044750213622997</v>
      </c>
      <c r="D132">
        <v>462.70248413085898</v>
      </c>
      <c r="E132">
        <v>677.65002441406205</v>
      </c>
      <c r="F132">
        <v>71.017356872558594</v>
      </c>
      <c r="G132">
        <v>134.86740112304599</v>
      </c>
      <c r="H132">
        <v>157.84022521972599</v>
      </c>
      <c r="I132">
        <v>70.746597290039006</v>
      </c>
      <c r="J132">
        <v>263.260009765625</v>
      </c>
      <c r="K132">
        <v>255.18794250488199</v>
      </c>
    </row>
    <row r="133" spans="1:11">
      <c r="A133" s="1">
        <v>45484</v>
      </c>
      <c r="B133">
        <v>183.91000366210901</v>
      </c>
      <c r="C133">
        <v>61.307071685791001</v>
      </c>
      <c r="D133">
        <v>451.24035644531199</v>
      </c>
      <c r="E133">
        <v>652.75</v>
      </c>
      <c r="F133">
        <v>71.849510192871094</v>
      </c>
      <c r="G133">
        <v>127.359771728515</v>
      </c>
      <c r="H133">
        <v>158.187576293945</v>
      </c>
      <c r="I133">
        <v>71.517387390136705</v>
      </c>
      <c r="J133">
        <v>241.02999877929599</v>
      </c>
      <c r="K133">
        <v>258.96395874023398</v>
      </c>
    </row>
    <row r="134" spans="1:11">
      <c r="A134" s="1">
        <v>45485</v>
      </c>
      <c r="B134">
        <v>182.30999755859301</v>
      </c>
      <c r="C134">
        <v>61.890029907226499</v>
      </c>
      <c r="D134">
        <v>450.09912109375</v>
      </c>
      <c r="E134">
        <v>647.59997558593705</v>
      </c>
      <c r="F134">
        <v>71.878883361816406</v>
      </c>
      <c r="G134">
        <v>129.19920349121</v>
      </c>
      <c r="H134">
        <v>160.53218078613199</v>
      </c>
      <c r="I134">
        <v>73.010177612304602</v>
      </c>
      <c r="J134">
        <v>248.22999572753901</v>
      </c>
      <c r="K134">
        <v>261.16824340820301</v>
      </c>
    </row>
    <row r="135" spans="1:11">
      <c r="A135" s="1">
        <v>45488</v>
      </c>
      <c r="B135">
        <v>179.11000061035099</v>
      </c>
      <c r="C135">
        <v>61.608264923095703</v>
      </c>
      <c r="D135">
        <v>450.50601196289</v>
      </c>
      <c r="E135">
        <v>656.45001220703102</v>
      </c>
      <c r="F135">
        <v>69.813171386718693</v>
      </c>
      <c r="G135">
        <v>128.39944458007801</v>
      </c>
      <c r="H135">
        <v>158.10073852539</v>
      </c>
      <c r="I135">
        <v>70.980758666992102</v>
      </c>
      <c r="J135">
        <v>252.63999938964801</v>
      </c>
      <c r="K135">
        <v>260.29840087890602</v>
      </c>
    </row>
    <row r="136" spans="1:11">
      <c r="A136" s="1">
        <v>45489</v>
      </c>
      <c r="B136">
        <v>186.05000305175699</v>
      </c>
      <c r="C136">
        <v>62.443828582763601</v>
      </c>
      <c r="D136">
        <v>446.09979248046801</v>
      </c>
      <c r="E136">
        <v>656.32000732421795</v>
      </c>
      <c r="F136">
        <v>71.281684875488196</v>
      </c>
      <c r="G136">
        <v>126.320091247558</v>
      </c>
      <c r="H136">
        <v>158.96910095214801</v>
      </c>
      <c r="I136">
        <v>73.673645019531193</v>
      </c>
      <c r="J136">
        <v>256.55999755859301</v>
      </c>
      <c r="K136">
        <v>261.27703857421801</v>
      </c>
    </row>
    <row r="137" spans="1:11">
      <c r="A137" s="1">
        <v>45490</v>
      </c>
      <c r="B137">
        <v>184.83999633789</v>
      </c>
      <c r="C137">
        <v>63.357124328613203</v>
      </c>
      <c r="D137">
        <v>440.145416259765</v>
      </c>
      <c r="E137">
        <v>647.46002197265602</v>
      </c>
      <c r="F137">
        <v>71.536224365234304</v>
      </c>
      <c r="G137">
        <v>117.952735900878</v>
      </c>
      <c r="H137">
        <v>163.91879272460901</v>
      </c>
      <c r="I137">
        <v>73.273605346679602</v>
      </c>
      <c r="J137">
        <v>248.5</v>
      </c>
      <c r="K137">
        <v>264.39074707031199</v>
      </c>
    </row>
    <row r="138" spans="1:11">
      <c r="A138" s="1">
        <v>45491</v>
      </c>
      <c r="B138">
        <v>180.22999572753901</v>
      </c>
      <c r="C138">
        <v>63.337684631347599</v>
      </c>
      <c r="D138">
        <v>437.01937866210898</v>
      </c>
      <c r="E138">
        <v>643.03997802734295</v>
      </c>
      <c r="F138">
        <v>70.860710144042898</v>
      </c>
      <c r="G138">
        <v>121.0517578125</v>
      </c>
      <c r="H138">
        <v>164.381912231445</v>
      </c>
      <c r="I138">
        <v>72.385749816894503</v>
      </c>
      <c r="J138">
        <v>249.22999572753901</v>
      </c>
      <c r="K138">
        <v>263.57028198242102</v>
      </c>
    </row>
    <row r="139" spans="1:11">
      <c r="A139" s="1">
        <v>45492</v>
      </c>
      <c r="B139">
        <v>179.669998168945</v>
      </c>
      <c r="C139">
        <v>63.434852600097599</v>
      </c>
      <c r="D139">
        <v>433.7841796875</v>
      </c>
      <c r="E139">
        <v>633.34002685546795</v>
      </c>
      <c r="F139">
        <v>71.173995971679602</v>
      </c>
      <c r="G139">
        <v>117.892761230468</v>
      </c>
      <c r="H139">
        <v>163.40742492675699</v>
      </c>
      <c r="I139">
        <v>77.342201232910099</v>
      </c>
      <c r="J139">
        <v>239.19999694824199</v>
      </c>
      <c r="K139">
        <v>260.10067749023398</v>
      </c>
    </row>
    <row r="140" spans="1:11">
      <c r="A140" s="1">
        <v>45495</v>
      </c>
      <c r="B140">
        <v>178.89999389648401</v>
      </c>
      <c r="C140">
        <v>62.929622650146399</v>
      </c>
      <c r="D140">
        <v>439.56985473632801</v>
      </c>
      <c r="E140">
        <v>647.5</v>
      </c>
      <c r="F140">
        <v>73.288658142089801</v>
      </c>
      <c r="G140">
        <v>123.50099182128901</v>
      </c>
      <c r="H140">
        <v>161.76719665527301</v>
      </c>
      <c r="I140">
        <v>74.688346862792898</v>
      </c>
      <c r="J140">
        <v>251.509994506835</v>
      </c>
      <c r="K140">
        <v>262.38406372070301</v>
      </c>
    </row>
    <row r="141" spans="1:11">
      <c r="A141" s="1">
        <v>45496</v>
      </c>
      <c r="B141">
        <v>186.47999572753901</v>
      </c>
      <c r="C141">
        <v>63.114219665527301</v>
      </c>
      <c r="D141">
        <v>441.46530151367102</v>
      </c>
      <c r="E141">
        <v>642.760009765625</v>
      </c>
      <c r="F141">
        <v>71.859306335449205</v>
      </c>
      <c r="G141">
        <v>122.55127716064401</v>
      </c>
      <c r="H141">
        <v>160.43568420410099</v>
      </c>
      <c r="I141">
        <v>74.405403137207003</v>
      </c>
      <c r="J141">
        <v>246.38000488281199</v>
      </c>
      <c r="K141">
        <v>263.33303833007801</v>
      </c>
    </row>
    <row r="142" spans="1:11">
      <c r="A142" s="1">
        <v>45497</v>
      </c>
      <c r="B142">
        <v>180.07000732421801</v>
      </c>
      <c r="C142">
        <v>63.940071105957003</v>
      </c>
      <c r="D142">
        <v>425.63665771484301</v>
      </c>
      <c r="E142">
        <v>635.989990234375</v>
      </c>
      <c r="F142">
        <v>69.597793579101506</v>
      </c>
      <c r="G142">
        <v>114.213912963867</v>
      </c>
      <c r="H142">
        <v>162.25926208496</v>
      </c>
      <c r="I142">
        <v>72.863822937011705</v>
      </c>
      <c r="J142">
        <v>215.99000549316401</v>
      </c>
      <c r="K142">
        <v>263.92611694335898</v>
      </c>
    </row>
    <row r="143" spans="1:11">
      <c r="A143" s="1">
        <v>45498</v>
      </c>
      <c r="B143">
        <v>184.350006103515</v>
      </c>
      <c r="C143">
        <v>64.192680358886705</v>
      </c>
      <c r="D143">
        <v>415.216552734375</v>
      </c>
      <c r="E143">
        <v>634.09002685546795</v>
      </c>
      <c r="F143">
        <v>69.911071777343693</v>
      </c>
      <c r="G143">
        <v>112.244537353515</v>
      </c>
      <c r="H143">
        <v>165.00909423828099</v>
      </c>
      <c r="I143">
        <v>71.536895751953097</v>
      </c>
      <c r="J143">
        <v>220.25</v>
      </c>
      <c r="K143">
        <v>274.40411376953102</v>
      </c>
    </row>
    <row r="144" spans="1:11">
      <c r="A144" s="1">
        <v>45499</v>
      </c>
      <c r="B144">
        <v>186.88999938964801</v>
      </c>
      <c r="C144">
        <v>65.144844055175696</v>
      </c>
      <c r="D144">
        <v>422.03427124023398</v>
      </c>
      <c r="E144">
        <v>631.36999511718705</v>
      </c>
      <c r="F144">
        <v>71.036926269531193</v>
      </c>
      <c r="G144">
        <v>113.024284362792</v>
      </c>
      <c r="H144">
        <v>166.67826843261699</v>
      </c>
      <c r="I144">
        <v>72.249153137207003</v>
      </c>
      <c r="J144">
        <v>219.80000305175699</v>
      </c>
      <c r="K144">
        <v>279.83090209960898</v>
      </c>
    </row>
    <row r="145" spans="1:11">
      <c r="A145" s="1">
        <v>45502</v>
      </c>
      <c r="B145">
        <v>185.42999267578099</v>
      </c>
      <c r="C145">
        <v>64.931091308593693</v>
      </c>
      <c r="D145">
        <v>423.48318481445301</v>
      </c>
      <c r="E145">
        <v>626.96002197265602</v>
      </c>
      <c r="F145">
        <v>72.006156921386705</v>
      </c>
      <c r="G145">
        <v>111.55474853515599</v>
      </c>
      <c r="H145">
        <v>167.12213134765599</v>
      </c>
      <c r="I145">
        <v>73.371177673339801</v>
      </c>
      <c r="J145">
        <v>232.100006103515</v>
      </c>
      <c r="K145">
        <v>275.71878051757801</v>
      </c>
    </row>
    <row r="146" spans="1:11">
      <c r="A146" s="1">
        <v>45503</v>
      </c>
      <c r="B146">
        <v>186.86000061035099</v>
      </c>
      <c r="C146">
        <v>65.756942749023395</v>
      </c>
      <c r="D146">
        <v>419.70217895507801</v>
      </c>
      <c r="E146">
        <v>622.58001708984295</v>
      </c>
      <c r="F146">
        <v>72.759986877441406</v>
      </c>
      <c r="G146">
        <v>103.69724273681599</v>
      </c>
      <c r="H146">
        <v>167.09315490722599</v>
      </c>
      <c r="I146">
        <v>74.093185424804602</v>
      </c>
      <c r="J146">
        <v>222.61999511718699</v>
      </c>
      <c r="K146">
        <v>281.14559936523398</v>
      </c>
    </row>
    <row r="147" spans="1:11">
      <c r="A147" s="1">
        <v>45504</v>
      </c>
      <c r="B147">
        <v>190.600006103515</v>
      </c>
      <c r="C147">
        <v>64.843650817871094</v>
      </c>
      <c r="D147">
        <v>415.16693115234301</v>
      </c>
      <c r="E147">
        <v>628.34997558593705</v>
      </c>
      <c r="F147">
        <v>73.288658142089801</v>
      </c>
      <c r="G147">
        <v>116.983039855957</v>
      </c>
      <c r="H147">
        <v>166.60108947753901</v>
      </c>
      <c r="I147">
        <v>76.054298400878906</v>
      </c>
      <c r="J147">
        <v>232.07000732421801</v>
      </c>
      <c r="K147">
        <v>279.03021240234301</v>
      </c>
    </row>
    <row r="148" spans="1:11">
      <c r="A148" s="1">
        <v>45505</v>
      </c>
      <c r="B148">
        <v>178.30999755859301</v>
      </c>
      <c r="C148">
        <v>66.028976440429602</v>
      </c>
      <c r="D148">
        <v>413.93634033203102</v>
      </c>
      <c r="E148">
        <v>624.84997558593705</v>
      </c>
      <c r="F148">
        <v>72.299850463867102</v>
      </c>
      <c r="G148">
        <v>109.17551422119099</v>
      </c>
      <c r="H148">
        <v>168.81060791015599</v>
      </c>
      <c r="I148">
        <v>73.283370971679602</v>
      </c>
      <c r="J148">
        <v>216.86000061035099</v>
      </c>
      <c r="K148">
        <v>281.08624267578102</v>
      </c>
    </row>
    <row r="149" spans="1:11">
      <c r="A149" s="1">
        <v>45506</v>
      </c>
      <c r="B149">
        <v>169.94999694824199</v>
      </c>
      <c r="C149">
        <v>67.360061645507798</v>
      </c>
      <c r="D149">
        <v>405.38195800781199</v>
      </c>
      <c r="E149">
        <v>613.64001464843705</v>
      </c>
      <c r="F149">
        <v>72.456497192382798</v>
      </c>
      <c r="G149">
        <v>107.236114501953</v>
      </c>
      <c r="H149">
        <v>171.78233337402301</v>
      </c>
      <c r="I149">
        <v>74.034645080566406</v>
      </c>
      <c r="J149">
        <v>207.669998168945</v>
      </c>
      <c r="K149">
        <v>279.76168823242102</v>
      </c>
    </row>
    <row r="150" spans="1:11">
      <c r="A150" s="1">
        <v>45509</v>
      </c>
      <c r="B150">
        <v>167.02999877929599</v>
      </c>
      <c r="C150">
        <v>66.165000915527301</v>
      </c>
      <c r="D150">
        <v>392.14340209960898</v>
      </c>
      <c r="E150">
        <v>598.54998779296795</v>
      </c>
      <c r="F150">
        <v>69.920867919921804</v>
      </c>
      <c r="G150">
        <v>100.41827392578099</v>
      </c>
      <c r="H150">
        <v>167.922927856445</v>
      </c>
      <c r="I150">
        <v>72.063766479492102</v>
      </c>
      <c r="J150">
        <v>198.88000488281199</v>
      </c>
      <c r="K150">
        <v>271.181640625</v>
      </c>
    </row>
    <row r="151" spans="1:11">
      <c r="A151" s="1">
        <v>45510</v>
      </c>
      <c r="B151">
        <v>165.03999328613199</v>
      </c>
      <c r="C151">
        <v>66.116432189941406</v>
      </c>
      <c r="D151">
        <v>396.56951904296801</v>
      </c>
      <c r="E151">
        <v>609.57000732421795</v>
      </c>
      <c r="F151">
        <v>70.978187561035099</v>
      </c>
      <c r="G151">
        <v>104.217071533203</v>
      </c>
      <c r="H151">
        <v>166.42741394042901</v>
      </c>
      <c r="I151">
        <v>73.537048339843693</v>
      </c>
      <c r="J151">
        <v>200.63999938964801</v>
      </c>
      <c r="K151">
        <v>271.20138549804602</v>
      </c>
    </row>
    <row r="152" spans="1:11">
      <c r="A152" s="1">
        <v>45511</v>
      </c>
      <c r="B152">
        <v>163.24000549316401</v>
      </c>
      <c r="C152">
        <v>66.5147705078125</v>
      </c>
      <c r="D152">
        <v>395.39849853515602</v>
      </c>
      <c r="E152">
        <v>611.47998046875</v>
      </c>
      <c r="F152">
        <v>71.095680236816406</v>
      </c>
      <c r="G152">
        <v>98.878768920898395</v>
      </c>
      <c r="H152">
        <v>165.75201416015599</v>
      </c>
      <c r="I152">
        <v>73.458999633789006</v>
      </c>
      <c r="J152">
        <v>191.759994506835</v>
      </c>
      <c r="K152">
        <v>272.26898193359301</v>
      </c>
    </row>
    <row r="153" spans="1:11">
      <c r="A153" s="1">
        <v>45512</v>
      </c>
      <c r="B153">
        <v>168.86999511718699</v>
      </c>
      <c r="C153">
        <v>66.777114868164006</v>
      </c>
      <c r="D153">
        <v>399.62612915039</v>
      </c>
      <c r="E153">
        <v>630.34997558593705</v>
      </c>
      <c r="F153">
        <v>72.632713317871094</v>
      </c>
      <c r="G153">
        <v>104.93685150146401</v>
      </c>
      <c r="H153">
        <v>166.31161499023401</v>
      </c>
      <c r="I153">
        <v>73.907806396484304</v>
      </c>
      <c r="J153">
        <v>198.83999633789</v>
      </c>
      <c r="K153">
        <v>274.720458984375</v>
      </c>
    </row>
    <row r="154" spans="1:11">
      <c r="A154" s="1">
        <v>45513</v>
      </c>
      <c r="B154">
        <v>167.91000366210901</v>
      </c>
      <c r="C154">
        <v>66.728523254394503</v>
      </c>
      <c r="D154">
        <v>402.93072509765602</v>
      </c>
      <c r="E154">
        <v>633.94000244140602</v>
      </c>
      <c r="F154">
        <v>72.779563903808594</v>
      </c>
      <c r="G154">
        <v>104.716918945312</v>
      </c>
      <c r="H154">
        <v>166.33094787597599</v>
      </c>
      <c r="I154">
        <v>73.263847351074205</v>
      </c>
      <c r="J154">
        <v>200</v>
      </c>
      <c r="K154">
        <v>273.42547607421801</v>
      </c>
    </row>
    <row r="155" spans="1:11">
      <c r="A155" s="1">
        <v>45516</v>
      </c>
      <c r="B155">
        <v>164.13000488281199</v>
      </c>
      <c r="C155">
        <v>66.233016967773395</v>
      </c>
      <c r="D155">
        <v>403.71472167968699</v>
      </c>
      <c r="E155">
        <v>633.14001464843705</v>
      </c>
      <c r="F155">
        <v>73.073272705078097</v>
      </c>
      <c r="G155">
        <v>108.98557281494099</v>
      </c>
      <c r="H155">
        <v>165.39503479003901</v>
      </c>
      <c r="I155">
        <v>75.156677246093693</v>
      </c>
      <c r="J155">
        <v>197.49000549316401</v>
      </c>
      <c r="K155">
        <v>272.68414306640602</v>
      </c>
    </row>
    <row r="156" spans="1:11">
      <c r="A156" s="1">
        <v>45517</v>
      </c>
      <c r="B156">
        <v>168.759994506835</v>
      </c>
      <c r="C156">
        <v>66.5147705078125</v>
      </c>
      <c r="D156">
        <v>410.85995483398398</v>
      </c>
      <c r="E156">
        <v>648.02001953125</v>
      </c>
      <c r="F156">
        <v>76.852256774902301</v>
      </c>
      <c r="G156">
        <v>116.103317260742</v>
      </c>
      <c r="H156">
        <v>166.31161499023401</v>
      </c>
      <c r="I156">
        <v>93.567771911621094</v>
      </c>
      <c r="J156">
        <v>207.83000183105401</v>
      </c>
      <c r="K156">
        <v>271.51773071289</v>
      </c>
    </row>
    <row r="157" spans="1:11">
      <c r="A157" s="1">
        <v>45518</v>
      </c>
      <c r="B157">
        <v>168.5</v>
      </c>
      <c r="C157">
        <v>66.631378173828097</v>
      </c>
      <c r="D157">
        <v>413.68826293945301</v>
      </c>
      <c r="E157">
        <v>661.67999267578102</v>
      </c>
      <c r="F157">
        <v>76.871826171875</v>
      </c>
      <c r="G157">
        <v>118.042709350585</v>
      </c>
      <c r="H157">
        <v>167.60453796386699</v>
      </c>
      <c r="I157">
        <v>91.616409301757798</v>
      </c>
      <c r="J157">
        <v>201.38000488281199</v>
      </c>
      <c r="K157">
        <v>276.756744384765</v>
      </c>
    </row>
    <row r="158" spans="1:11">
      <c r="A158" s="1">
        <v>45519</v>
      </c>
      <c r="B158">
        <v>176.41000366210901</v>
      </c>
      <c r="C158">
        <v>66.699378967285099</v>
      </c>
      <c r="D158">
        <v>418.57962036132801</v>
      </c>
      <c r="E158">
        <v>663.219970703125</v>
      </c>
      <c r="F158">
        <v>80.768287658691406</v>
      </c>
      <c r="G158">
        <v>122.82120513916</v>
      </c>
      <c r="H158">
        <v>166.45635986328099</v>
      </c>
      <c r="I158">
        <v>92.572563171386705</v>
      </c>
      <c r="J158">
        <v>214.13999938964801</v>
      </c>
      <c r="K158">
        <v>276.65786743164</v>
      </c>
    </row>
    <row r="159" spans="1:11">
      <c r="A159" s="1">
        <v>45520</v>
      </c>
      <c r="B159">
        <v>179.99000549316401</v>
      </c>
      <c r="C159">
        <v>67.214317321777301</v>
      </c>
      <c r="D159">
        <v>416.03454589843699</v>
      </c>
      <c r="E159">
        <v>674.07000732421795</v>
      </c>
      <c r="F159">
        <v>81.482978820800696</v>
      </c>
      <c r="G159">
        <v>124.540649414062</v>
      </c>
      <c r="H159">
        <v>166.55285644531199</v>
      </c>
      <c r="I159">
        <v>93.063362121582003</v>
      </c>
      <c r="J159">
        <v>216.11999511718699</v>
      </c>
      <c r="K159">
        <v>277.19161987304602</v>
      </c>
    </row>
    <row r="160" spans="1:11">
      <c r="A160" s="1">
        <v>45523</v>
      </c>
      <c r="B160">
        <v>179.63999938964801</v>
      </c>
      <c r="C160">
        <v>67.020004272460895</v>
      </c>
      <c r="D160">
        <v>419.07672119140602</v>
      </c>
      <c r="E160">
        <v>688.530029296875</v>
      </c>
      <c r="F160">
        <v>81.531906127929602</v>
      </c>
      <c r="G160">
        <v>129.95893859863199</v>
      </c>
      <c r="H160">
        <v>167.710693359375</v>
      </c>
      <c r="I160">
        <v>90.599609375</v>
      </c>
      <c r="J160">
        <v>222.72000122070301</v>
      </c>
      <c r="K160">
        <v>279.148834228515</v>
      </c>
    </row>
    <row r="161" spans="1:11">
      <c r="A161" s="1">
        <v>45524</v>
      </c>
      <c r="B161">
        <v>172.100006103515</v>
      </c>
      <c r="C161">
        <v>67.408622741699205</v>
      </c>
      <c r="D161">
        <v>422.32766723632801</v>
      </c>
      <c r="E161">
        <v>698.53997802734295</v>
      </c>
      <c r="F161">
        <v>81.806037902832003</v>
      </c>
      <c r="G161">
        <v>127.20980834960901</v>
      </c>
      <c r="H161">
        <v>169.669342041015</v>
      </c>
      <c r="I161">
        <v>91.296524047851506</v>
      </c>
      <c r="J161">
        <v>221.100006103515</v>
      </c>
      <c r="K161">
        <v>278.22955322265602</v>
      </c>
    </row>
    <row r="162" spans="1:11">
      <c r="A162" s="1">
        <v>45525</v>
      </c>
      <c r="B162">
        <v>173.42999267578099</v>
      </c>
      <c r="C162">
        <v>67.593238830566406</v>
      </c>
      <c r="D162">
        <v>421.67156982421801</v>
      </c>
      <c r="E162">
        <v>697.11999511718705</v>
      </c>
      <c r="F162">
        <v>82.236793518066406</v>
      </c>
      <c r="G162">
        <v>128.45942687988199</v>
      </c>
      <c r="H162">
        <v>169.051834106445</v>
      </c>
      <c r="I162">
        <v>91.070762634277301</v>
      </c>
      <c r="J162">
        <v>223.27000427246</v>
      </c>
      <c r="K162">
        <v>280.41409301757801</v>
      </c>
    </row>
    <row r="163" spans="1:11">
      <c r="A163" s="1">
        <v>45526</v>
      </c>
      <c r="B163">
        <v>172.759994506835</v>
      </c>
      <c r="C163">
        <v>67.360061645507798</v>
      </c>
      <c r="D163">
        <v>413.13153076171801</v>
      </c>
      <c r="E163">
        <v>688.96002197265602</v>
      </c>
      <c r="F163">
        <v>81.659194946289006</v>
      </c>
      <c r="G163">
        <v>123.700927734375</v>
      </c>
      <c r="H163">
        <v>169.56320190429599</v>
      </c>
      <c r="I163">
        <v>90.727203369140597</v>
      </c>
      <c r="J163">
        <v>210.66000366210901</v>
      </c>
      <c r="K163">
        <v>281.85729980468699</v>
      </c>
    </row>
    <row r="164" spans="1:11">
      <c r="A164" s="1">
        <v>45527</v>
      </c>
      <c r="B164">
        <v>174.96000671386699</v>
      </c>
      <c r="C164">
        <v>67.806983947753906</v>
      </c>
      <c r="D164">
        <v>414.36431884765602</v>
      </c>
      <c r="E164">
        <v>686.72998046875</v>
      </c>
      <c r="F164">
        <v>82.285758972167898</v>
      </c>
      <c r="G164">
        <v>129.32913208007801</v>
      </c>
      <c r="H164">
        <v>169.68861389160099</v>
      </c>
      <c r="I164">
        <v>92.287918090820298</v>
      </c>
      <c r="J164">
        <v>220.32000732421801</v>
      </c>
      <c r="K164">
        <v>278.21966552734301</v>
      </c>
    </row>
    <row r="165" spans="1:11">
      <c r="A165" s="1">
        <v>45530</v>
      </c>
      <c r="B165">
        <v>173.47999572753901</v>
      </c>
      <c r="C165">
        <v>68.8271484375</v>
      </c>
      <c r="D165">
        <v>411.08349609375</v>
      </c>
      <c r="E165">
        <v>688.44000244140602</v>
      </c>
      <c r="F165">
        <v>82.510925292968693</v>
      </c>
      <c r="G165">
        <v>126.42005920410099</v>
      </c>
      <c r="H165">
        <v>169.78511047363199</v>
      </c>
      <c r="I165">
        <v>93.868255615234304</v>
      </c>
      <c r="J165">
        <v>213.21000671386699</v>
      </c>
      <c r="K165">
        <v>282.11431884765602</v>
      </c>
    </row>
    <row r="166" spans="1:11">
      <c r="A166" s="1">
        <v>45531</v>
      </c>
      <c r="B166">
        <v>173.05000305175699</v>
      </c>
      <c r="C166">
        <v>69.468399047851506</v>
      </c>
      <c r="D166">
        <v>411.43145751953102</v>
      </c>
      <c r="E166">
        <v>695.719970703125</v>
      </c>
      <c r="F166">
        <v>83.499725341796804</v>
      </c>
      <c r="G166">
        <v>128.25949096679599</v>
      </c>
      <c r="H166">
        <v>169.13865661621</v>
      </c>
      <c r="I166">
        <v>96.783546447753906</v>
      </c>
      <c r="J166">
        <v>209.21000671386699</v>
      </c>
      <c r="K166">
        <v>284.72390747070301</v>
      </c>
    </row>
    <row r="167" spans="1:11">
      <c r="A167" s="1">
        <v>45532</v>
      </c>
      <c r="B167">
        <v>170.71000671386699</v>
      </c>
      <c r="C167">
        <v>69.711288452148395</v>
      </c>
      <c r="D167">
        <v>408.210357666015</v>
      </c>
      <c r="E167">
        <v>683.84002685546795</v>
      </c>
      <c r="F167">
        <v>81.052207946777301</v>
      </c>
      <c r="G167">
        <v>125.570335388183</v>
      </c>
      <c r="H167">
        <v>167.80715942382801</v>
      </c>
      <c r="I167">
        <v>93.544342041015597</v>
      </c>
      <c r="J167">
        <v>205.75</v>
      </c>
      <c r="K167">
        <v>286.137451171875</v>
      </c>
    </row>
    <row r="168" spans="1:11">
      <c r="A168" s="1">
        <v>45533</v>
      </c>
      <c r="B168">
        <v>172.259994506835</v>
      </c>
      <c r="C168">
        <v>70.002769470214801</v>
      </c>
      <c r="D168">
        <v>410.71563720703102</v>
      </c>
      <c r="E168">
        <v>692.47998046875</v>
      </c>
      <c r="F168">
        <v>81.512336730957003</v>
      </c>
      <c r="G168">
        <v>117.552864074707</v>
      </c>
      <c r="H168">
        <v>166.04145812988199</v>
      </c>
      <c r="I168">
        <v>93.112442016601506</v>
      </c>
      <c r="J168">
        <v>206.27999877929599</v>
      </c>
      <c r="K168">
        <v>288.49993896484301</v>
      </c>
    </row>
    <row r="169" spans="1:11">
      <c r="A169" s="1">
        <v>45534</v>
      </c>
      <c r="B169">
        <v>173.74000549316401</v>
      </c>
      <c r="C169">
        <v>70.410842895507798</v>
      </c>
      <c r="D169">
        <v>414.71228027343699</v>
      </c>
      <c r="E169">
        <v>701.34997558593705</v>
      </c>
      <c r="F169">
        <v>81.571075439453097</v>
      </c>
      <c r="G169">
        <v>119.332305908203</v>
      </c>
      <c r="H169">
        <v>166.8037109375</v>
      </c>
      <c r="I169">
        <v>92.827789306640597</v>
      </c>
      <c r="J169">
        <v>214.11000061035099</v>
      </c>
      <c r="K169">
        <v>288.74700927734301</v>
      </c>
    </row>
    <row r="170" spans="1:11">
      <c r="A170" s="1">
        <v>45538</v>
      </c>
      <c r="B170">
        <v>161.02000427246</v>
      </c>
      <c r="C170">
        <v>70.935501098632798</v>
      </c>
      <c r="D170">
        <v>407.05709838867102</v>
      </c>
      <c r="E170">
        <v>675.32000732421795</v>
      </c>
      <c r="F170">
        <v>79.968170166015597</v>
      </c>
      <c r="G170">
        <v>107.96588897705</v>
      </c>
      <c r="H170">
        <v>171.29992675781199</v>
      </c>
      <c r="I170">
        <v>91.463386535644503</v>
      </c>
      <c r="J170">
        <v>210.600006103515</v>
      </c>
      <c r="K170">
        <v>288.85580444335898</v>
      </c>
    </row>
    <row r="171" spans="1:11">
      <c r="A171" s="1">
        <v>45539</v>
      </c>
      <c r="B171">
        <v>163.22000122070301</v>
      </c>
      <c r="C171">
        <v>70.498275756835895</v>
      </c>
      <c r="D171">
        <v>406.52023315429602</v>
      </c>
      <c r="E171">
        <v>679.67999267578102</v>
      </c>
      <c r="F171">
        <v>79.673156738281193</v>
      </c>
      <c r="G171">
        <v>106.176452636718</v>
      </c>
      <c r="H171">
        <v>172.24548339843699</v>
      </c>
      <c r="I171">
        <v>90.629058837890597</v>
      </c>
      <c r="J171">
        <v>219.41000366210901</v>
      </c>
      <c r="K171">
        <v>290.99093627929602</v>
      </c>
    </row>
    <row r="172" spans="1:11">
      <c r="A172" s="1">
        <v>45540</v>
      </c>
      <c r="B172">
        <v>162.14999389648401</v>
      </c>
      <c r="C172">
        <v>69.147773742675696</v>
      </c>
      <c r="D172">
        <v>406.01318359375</v>
      </c>
      <c r="E172">
        <v>683.61999511718705</v>
      </c>
      <c r="F172">
        <v>79.486312866210895</v>
      </c>
      <c r="G172">
        <v>107.176139831542</v>
      </c>
      <c r="H172">
        <v>172.99807739257801</v>
      </c>
      <c r="I172">
        <v>89.873237609863196</v>
      </c>
      <c r="J172">
        <v>230.169998168945</v>
      </c>
      <c r="K172">
        <v>290.28912353515602</v>
      </c>
    </row>
    <row r="173" spans="1:11">
      <c r="A173" s="1">
        <v>45541</v>
      </c>
      <c r="B173">
        <v>157.61999511718699</v>
      </c>
      <c r="C173">
        <v>69.118629455566406</v>
      </c>
      <c r="D173">
        <v>399.36212158203102</v>
      </c>
      <c r="E173">
        <v>665.77001953125</v>
      </c>
      <c r="F173">
        <v>79.289642333984304</v>
      </c>
      <c r="G173">
        <v>102.79753112792901</v>
      </c>
      <c r="H173">
        <v>172.40988159179599</v>
      </c>
      <c r="I173">
        <v>89.470794677734304</v>
      </c>
      <c r="J173">
        <v>210.72999572753901</v>
      </c>
      <c r="K173">
        <v>287.73880004882801</v>
      </c>
    </row>
    <row r="174" spans="1:11">
      <c r="A174" s="1">
        <v>45544</v>
      </c>
      <c r="B174">
        <v>162.91000366210901</v>
      </c>
      <c r="C174">
        <v>69.808448791503906</v>
      </c>
      <c r="D174">
        <v>403.35876464843699</v>
      </c>
      <c r="E174">
        <v>675.41998291015602</v>
      </c>
      <c r="F174">
        <v>78.168594360351506</v>
      </c>
      <c r="G174">
        <v>106.436378479003</v>
      </c>
      <c r="H174">
        <v>173.23625183105401</v>
      </c>
      <c r="I174">
        <v>90.511268615722599</v>
      </c>
      <c r="J174">
        <v>216.27000427246</v>
      </c>
      <c r="K174">
        <v>290.97113037109301</v>
      </c>
    </row>
    <row r="175" spans="1:11">
      <c r="A175" s="1">
        <v>45545</v>
      </c>
      <c r="B175">
        <v>160.07000732421801</v>
      </c>
      <c r="C175">
        <v>69.516983032226506</v>
      </c>
      <c r="D175">
        <v>411.78942871093699</v>
      </c>
      <c r="E175">
        <v>673.61999511718705</v>
      </c>
      <c r="F175">
        <v>76.791862487792898</v>
      </c>
      <c r="G175">
        <v>108.065856933593</v>
      </c>
      <c r="H175">
        <v>172.86680603027301</v>
      </c>
      <c r="I175">
        <v>91.620445251464801</v>
      </c>
      <c r="J175">
        <v>226.169998168945</v>
      </c>
      <c r="K175">
        <v>288.28250122070301</v>
      </c>
    </row>
    <row r="176" spans="1:11">
      <c r="A176" s="1">
        <v>45546</v>
      </c>
      <c r="B176">
        <v>161.33000183105401</v>
      </c>
      <c r="C176">
        <v>69.060325622558594</v>
      </c>
      <c r="D176">
        <v>420.57794189453102</v>
      </c>
      <c r="E176">
        <v>681.469970703125</v>
      </c>
      <c r="F176">
        <v>77.096717834472599</v>
      </c>
      <c r="G176">
        <v>116.873077392578</v>
      </c>
      <c r="H176">
        <v>170.89324951171801</v>
      </c>
      <c r="I176">
        <v>96.390907287597599</v>
      </c>
      <c r="J176">
        <v>228.13000488281199</v>
      </c>
      <c r="K176">
        <v>284.76345825195301</v>
      </c>
    </row>
    <row r="177" spans="1:11">
      <c r="A177" s="1">
        <v>45547</v>
      </c>
      <c r="B177">
        <v>162.77000427246</v>
      </c>
      <c r="C177">
        <v>69.206077575683594</v>
      </c>
      <c r="D177">
        <v>424.514892578125</v>
      </c>
      <c r="E177">
        <v>686.79998779296795</v>
      </c>
      <c r="F177">
        <v>77.096717834472599</v>
      </c>
      <c r="G177">
        <v>119.11256408691401</v>
      </c>
      <c r="H177">
        <v>172.32237243652301</v>
      </c>
      <c r="I177">
        <v>97.451019287109304</v>
      </c>
      <c r="J177">
        <v>229.80999755859301</v>
      </c>
      <c r="K177">
        <v>286.30551147460898</v>
      </c>
    </row>
    <row r="178" spans="1:11">
      <c r="A178" s="1">
        <v>45548</v>
      </c>
      <c r="B178">
        <v>156.77000427246</v>
      </c>
      <c r="C178">
        <v>69.856605529785099</v>
      </c>
      <c r="D178">
        <v>428.083984375</v>
      </c>
      <c r="E178">
        <v>697.05999755859295</v>
      </c>
      <c r="F178">
        <v>77.696578979492102</v>
      </c>
      <c r="G178">
        <v>119.07257080078099</v>
      </c>
      <c r="H178">
        <v>172.42932128906199</v>
      </c>
      <c r="I178">
        <v>96.754096984863196</v>
      </c>
      <c r="J178">
        <v>230.28999328613199</v>
      </c>
      <c r="K178">
        <v>287.35330200195301</v>
      </c>
    </row>
    <row r="179" spans="1:11">
      <c r="A179" s="1">
        <v>45551</v>
      </c>
      <c r="B179">
        <v>155.55000305175699</v>
      </c>
      <c r="C179">
        <v>70.531593322753906</v>
      </c>
      <c r="D179">
        <v>428.82962036132801</v>
      </c>
      <c r="E179">
        <v>696.5</v>
      </c>
      <c r="F179">
        <v>78.473449707031193</v>
      </c>
      <c r="G179">
        <v>116.75310516357401</v>
      </c>
      <c r="H179">
        <v>172.28349304199199</v>
      </c>
      <c r="I179">
        <v>94.535728454589801</v>
      </c>
      <c r="J179">
        <v>226.77999877929599</v>
      </c>
      <c r="K179">
        <v>290.58566284179602</v>
      </c>
    </row>
    <row r="180" spans="1:11">
      <c r="A180" s="1">
        <v>45552</v>
      </c>
      <c r="B180">
        <v>156.38999938964801</v>
      </c>
      <c r="C180">
        <v>70.238121032714801</v>
      </c>
      <c r="D180">
        <v>432.61746215820301</v>
      </c>
      <c r="E180">
        <v>706.90997314453102</v>
      </c>
      <c r="F180">
        <v>79.299476623535099</v>
      </c>
      <c r="G180">
        <v>115.56337738037099</v>
      </c>
      <c r="H180">
        <v>171.95294189453099</v>
      </c>
      <c r="I180">
        <v>94.663337707519503</v>
      </c>
      <c r="J180">
        <v>227.86999511718699</v>
      </c>
      <c r="K180">
        <v>289.56750488281199</v>
      </c>
    </row>
    <row r="181" spans="1:11">
      <c r="A181" s="1">
        <v>45553</v>
      </c>
      <c r="B181">
        <v>155.11000061035099</v>
      </c>
      <c r="C181">
        <v>70.189208984375</v>
      </c>
      <c r="D181">
        <v>428.30270385742102</v>
      </c>
      <c r="E181">
        <v>690.469970703125</v>
      </c>
      <c r="F181">
        <v>79.555152893066406</v>
      </c>
      <c r="G181">
        <v>113.34388732910099</v>
      </c>
      <c r="H181">
        <v>170.339111328125</v>
      </c>
      <c r="I181">
        <v>94.349227905273395</v>
      </c>
      <c r="J181">
        <v>227.19999694824199</v>
      </c>
      <c r="K181">
        <v>289.132568359375</v>
      </c>
    </row>
    <row r="182" spans="1:11">
      <c r="A182" s="1">
        <v>45554</v>
      </c>
      <c r="B182">
        <v>154.58999633789</v>
      </c>
      <c r="C182">
        <v>69.083793640136705</v>
      </c>
      <c r="D182">
        <v>436.13684082031199</v>
      </c>
      <c r="E182">
        <v>704.32000732421795</v>
      </c>
      <c r="F182">
        <v>79.633834838867102</v>
      </c>
      <c r="G182">
        <v>117.84285736083901</v>
      </c>
      <c r="H182">
        <v>169.80438232421801</v>
      </c>
      <c r="I182">
        <v>95.1148681640625</v>
      </c>
      <c r="J182">
        <v>243.919998168945</v>
      </c>
      <c r="K182">
        <v>285.48504638671801</v>
      </c>
    </row>
    <row r="183" spans="1:11">
      <c r="A183" s="1">
        <v>45555</v>
      </c>
      <c r="B183">
        <v>153.28999328613199</v>
      </c>
      <c r="C183">
        <v>70.081604003906193</v>
      </c>
      <c r="D183">
        <v>432.73675537109301</v>
      </c>
      <c r="E183">
        <v>701.030029296875</v>
      </c>
      <c r="F183">
        <v>85.081726074218693</v>
      </c>
      <c r="G183">
        <v>115.97328948974599</v>
      </c>
      <c r="H183">
        <v>166.421127319335</v>
      </c>
      <c r="I183">
        <v>94.280517578125</v>
      </c>
      <c r="J183">
        <v>238.25</v>
      </c>
      <c r="K183">
        <v>285.03033447265602</v>
      </c>
    </row>
    <row r="184" spans="1:11">
      <c r="A184" s="1">
        <v>45558</v>
      </c>
      <c r="B184">
        <v>156.30000305175699</v>
      </c>
      <c r="C184">
        <v>70.169647216796804</v>
      </c>
      <c r="D184">
        <v>430.98703002929602</v>
      </c>
      <c r="E184">
        <v>705.36999511718705</v>
      </c>
      <c r="F184">
        <v>84.767051696777301</v>
      </c>
      <c r="G184">
        <v>116.23323059082</v>
      </c>
      <c r="H184">
        <v>167.32528686523401</v>
      </c>
      <c r="I184">
        <v>93.721023559570298</v>
      </c>
      <c r="J184">
        <v>250</v>
      </c>
      <c r="K184">
        <v>287.50155639648398</v>
      </c>
    </row>
    <row r="185" spans="1:11">
      <c r="A185" s="1">
        <v>45559</v>
      </c>
      <c r="B185">
        <v>155.80999755859301</v>
      </c>
      <c r="C185">
        <v>69.778343200683594</v>
      </c>
      <c r="D185">
        <v>426.672271728515</v>
      </c>
      <c r="E185">
        <v>722.260009765625</v>
      </c>
      <c r="F185">
        <v>86.006103515625</v>
      </c>
      <c r="G185">
        <v>120.842170715332</v>
      </c>
      <c r="H185">
        <v>165.19616699218699</v>
      </c>
      <c r="I185">
        <v>92.709999084472599</v>
      </c>
      <c r="J185">
        <v>254.27000427246</v>
      </c>
      <c r="K185">
        <v>285.88043212890602</v>
      </c>
    </row>
    <row r="186" spans="1:11">
      <c r="A186" s="1">
        <v>45560</v>
      </c>
      <c r="B186">
        <v>152.22000122070301</v>
      </c>
      <c r="C186">
        <v>69.895736694335895</v>
      </c>
      <c r="D186">
        <v>429.595123291015</v>
      </c>
      <c r="E186">
        <v>721.55999755859295</v>
      </c>
      <c r="F186">
        <v>86.537124633789006</v>
      </c>
      <c r="G186">
        <v>123.481559753417</v>
      </c>
      <c r="H186">
        <v>164.69061279296801</v>
      </c>
      <c r="I186">
        <v>93.858451843261705</v>
      </c>
      <c r="J186">
        <v>257.01998901367102</v>
      </c>
      <c r="K186">
        <v>287.046875</v>
      </c>
    </row>
    <row r="187" spans="1:11">
      <c r="A187" s="1">
        <v>45561</v>
      </c>
      <c r="B187">
        <v>154.58000183105401</v>
      </c>
      <c r="C187">
        <v>69.846817016601506</v>
      </c>
      <c r="D187">
        <v>428.7998046875</v>
      </c>
      <c r="E187">
        <v>711.42999267578102</v>
      </c>
      <c r="F187">
        <v>87.904022216796804</v>
      </c>
      <c r="G187">
        <v>124.011436462402</v>
      </c>
      <c r="H187">
        <v>164.97254943847599</v>
      </c>
      <c r="I187">
        <v>95.674362182617102</v>
      </c>
      <c r="J187">
        <v>254.22000122070301</v>
      </c>
      <c r="K187">
        <v>287.808013916015</v>
      </c>
    </row>
    <row r="188" spans="1:11">
      <c r="A188" s="1">
        <v>45562</v>
      </c>
      <c r="B188">
        <v>156.32000732421801</v>
      </c>
      <c r="C188">
        <v>70.228347778320298</v>
      </c>
      <c r="D188">
        <v>425.52896118164</v>
      </c>
      <c r="E188">
        <v>707.34997558593705</v>
      </c>
      <c r="F188">
        <v>87.953193664550696</v>
      </c>
      <c r="G188">
        <v>121.37204742431599</v>
      </c>
      <c r="H188">
        <v>165.27394104003901</v>
      </c>
      <c r="I188">
        <v>95.566390991210895</v>
      </c>
      <c r="J188">
        <v>260.45999145507801</v>
      </c>
      <c r="K188">
        <v>289.64657592773398</v>
      </c>
    </row>
    <row r="189" spans="1:11">
      <c r="A189" s="1">
        <v>45565</v>
      </c>
      <c r="B189">
        <v>152.03999328613199</v>
      </c>
      <c r="C189">
        <v>70.296813964843693</v>
      </c>
      <c r="D189">
        <v>427.79568481445301</v>
      </c>
      <c r="E189">
        <v>709.27001953125</v>
      </c>
      <c r="F189">
        <v>86.930480957031193</v>
      </c>
      <c r="G189">
        <v>121.41203308105401</v>
      </c>
      <c r="H189">
        <v>165.32255554199199</v>
      </c>
      <c r="I189">
        <v>95.693992614746094</v>
      </c>
      <c r="J189">
        <v>261.63000488281199</v>
      </c>
      <c r="K189">
        <v>292.01617431640602</v>
      </c>
    </row>
    <row r="190" spans="1:11">
      <c r="A190" s="1">
        <v>45566</v>
      </c>
      <c r="B190">
        <v>154.22000122070301</v>
      </c>
      <c r="C190">
        <v>70.150077819824205</v>
      </c>
      <c r="D190">
        <v>418.24163818359301</v>
      </c>
      <c r="E190">
        <v>706.13000488281205</v>
      </c>
      <c r="F190">
        <v>87.648338317871094</v>
      </c>
      <c r="G190">
        <v>116.97306060791</v>
      </c>
      <c r="H190">
        <v>166.61558532714801</v>
      </c>
      <c r="I190">
        <v>95.635101318359304</v>
      </c>
      <c r="J190">
        <v>258.01998901367102</v>
      </c>
      <c r="K190">
        <v>298.01452636718699</v>
      </c>
    </row>
    <row r="191" spans="1:11">
      <c r="A191" s="1">
        <v>45567</v>
      </c>
      <c r="B191">
        <v>152.88999938964801</v>
      </c>
      <c r="C191">
        <v>69.465309143066406</v>
      </c>
      <c r="D191">
        <v>414.70236206054602</v>
      </c>
      <c r="E191">
        <v>711.09002685546795</v>
      </c>
      <c r="F191">
        <v>81.718582153320298</v>
      </c>
      <c r="G191">
        <v>118.822624206542</v>
      </c>
      <c r="H191">
        <v>164.83644104003901</v>
      </c>
      <c r="I191">
        <v>94.722229003906193</v>
      </c>
      <c r="J191">
        <v>249.02000427246</v>
      </c>
      <c r="K191">
        <v>292.888671875</v>
      </c>
    </row>
    <row r="192" spans="1:11">
      <c r="A192" s="1">
        <v>45568</v>
      </c>
      <c r="B192">
        <v>150.52000427246</v>
      </c>
      <c r="C192">
        <v>68.9859619140625</v>
      </c>
      <c r="D192">
        <v>414.11578369140602</v>
      </c>
      <c r="E192">
        <v>706.79998779296795</v>
      </c>
      <c r="F192">
        <v>80.735206604003906</v>
      </c>
      <c r="G192">
        <v>122.82170867919901</v>
      </c>
      <c r="H192">
        <v>163.844802856445</v>
      </c>
      <c r="I192">
        <v>93.799537658691406</v>
      </c>
      <c r="J192">
        <v>240.66000366210901</v>
      </c>
      <c r="K192">
        <v>288.109771728515</v>
      </c>
    </row>
    <row r="193" spans="1:11">
      <c r="A193" s="1">
        <v>45569</v>
      </c>
      <c r="B193">
        <v>155</v>
      </c>
      <c r="C193">
        <v>68.643569946289006</v>
      </c>
      <c r="D193">
        <v>413.63854980468699</v>
      </c>
      <c r="E193">
        <v>719.70001220703102</v>
      </c>
      <c r="F193">
        <v>80.882713317871094</v>
      </c>
      <c r="G193">
        <v>124.891227722167</v>
      </c>
      <c r="H193">
        <v>163.300369262695</v>
      </c>
      <c r="I193">
        <v>94.800750732421804</v>
      </c>
      <c r="J193">
        <v>250.08000183105401</v>
      </c>
      <c r="K193">
        <v>288.20895385742102</v>
      </c>
    </row>
    <row r="194" spans="1:11">
      <c r="A194" s="1">
        <v>45572</v>
      </c>
      <c r="B194">
        <v>155.91000366210901</v>
      </c>
      <c r="C194">
        <v>67.508811950683594</v>
      </c>
      <c r="D194">
        <v>407.156494140625</v>
      </c>
      <c r="E194">
        <v>701.91998291015602</v>
      </c>
      <c r="F194">
        <v>79.486312866210895</v>
      </c>
      <c r="G194">
        <v>127.690589904785</v>
      </c>
      <c r="H194">
        <v>162.56150817871</v>
      </c>
      <c r="I194">
        <v>94.319778442382798</v>
      </c>
      <c r="J194">
        <v>240.83000183105401</v>
      </c>
      <c r="K194">
        <v>285.53201293945301</v>
      </c>
    </row>
    <row r="195" spans="1:11">
      <c r="A195" s="1">
        <v>45573</v>
      </c>
      <c r="B195">
        <v>154.64999389648401</v>
      </c>
      <c r="C195">
        <v>67.675117492675696</v>
      </c>
      <c r="D195">
        <v>412.29641723632801</v>
      </c>
      <c r="E195">
        <v>721.760009765625</v>
      </c>
      <c r="F195">
        <v>79.427314758300696</v>
      </c>
      <c r="G195">
        <v>132.85939025878901</v>
      </c>
      <c r="H195">
        <v>165.68225097656199</v>
      </c>
      <c r="I195">
        <v>94.437576293945298</v>
      </c>
      <c r="J195">
        <v>244.5</v>
      </c>
      <c r="K195">
        <v>290.43975830078102</v>
      </c>
    </row>
    <row r="196" spans="1:11">
      <c r="A196" s="1">
        <v>45574</v>
      </c>
      <c r="B196">
        <v>149.36999511718699</v>
      </c>
      <c r="C196">
        <v>68.056625366210895</v>
      </c>
      <c r="D196">
        <v>415.03042602539</v>
      </c>
      <c r="E196">
        <v>727.42999267578102</v>
      </c>
      <c r="F196">
        <v>81.079391479492102</v>
      </c>
      <c r="G196">
        <v>132.61944580078099</v>
      </c>
      <c r="H196">
        <v>167.74331665039</v>
      </c>
      <c r="I196">
        <v>94.1136474609375</v>
      </c>
      <c r="J196">
        <v>241.05000305175699</v>
      </c>
      <c r="K196">
        <v>295.50613403320301</v>
      </c>
    </row>
    <row r="197" spans="1:11">
      <c r="A197" s="1">
        <v>45575</v>
      </c>
      <c r="B197">
        <v>146.61999511718699</v>
      </c>
      <c r="C197">
        <v>67.743591308593693</v>
      </c>
      <c r="D197">
        <v>413.419830322265</v>
      </c>
      <c r="E197">
        <v>730.28997802734295</v>
      </c>
      <c r="F197">
        <v>80.735206604003906</v>
      </c>
      <c r="G197">
        <v>134.77896118164</v>
      </c>
      <c r="H197">
        <v>168.18081665039</v>
      </c>
      <c r="I197">
        <v>92.150497436523395</v>
      </c>
      <c r="J197">
        <v>238.77000427246</v>
      </c>
      <c r="K197">
        <v>287.76278686523398</v>
      </c>
    </row>
    <row r="198" spans="1:11">
      <c r="A198" s="1">
        <v>45576</v>
      </c>
      <c r="B198">
        <v>151.02000427246</v>
      </c>
      <c r="C198">
        <v>68.056625366210895</v>
      </c>
      <c r="D198">
        <v>413.89703369140602</v>
      </c>
      <c r="E198">
        <v>722.78997802734295</v>
      </c>
      <c r="F198">
        <v>80.784378051757798</v>
      </c>
      <c r="G198">
        <v>134.76896667480401</v>
      </c>
      <c r="H198">
        <v>169.95022583007801</v>
      </c>
      <c r="I198">
        <v>93.789726257324205</v>
      </c>
      <c r="J198">
        <v>217.80000305175699</v>
      </c>
      <c r="K198">
        <v>287.554595947265</v>
      </c>
    </row>
    <row r="199" spans="1:11">
      <c r="A199" s="1">
        <v>45579</v>
      </c>
      <c r="B199">
        <v>148.99000549316401</v>
      </c>
      <c r="C199">
        <v>68.809875488281193</v>
      </c>
      <c r="D199">
        <v>416.70065307617102</v>
      </c>
      <c r="E199">
        <v>713</v>
      </c>
      <c r="F199">
        <v>80.243515014648395</v>
      </c>
      <c r="G199">
        <v>138.03822326660099</v>
      </c>
      <c r="H199">
        <v>171.20436096191401</v>
      </c>
      <c r="I199">
        <v>93.014289855957003</v>
      </c>
      <c r="J199">
        <v>219.16000366210901</v>
      </c>
      <c r="K199">
        <v>290.15222167968699</v>
      </c>
    </row>
    <row r="200" spans="1:11">
      <c r="A200" s="1">
        <v>45580</v>
      </c>
      <c r="B200">
        <v>152.350006103515</v>
      </c>
      <c r="C200">
        <v>68.809875488281193</v>
      </c>
      <c r="D200">
        <v>416.30294799804602</v>
      </c>
      <c r="E200">
        <v>705.97998046875</v>
      </c>
      <c r="F200">
        <v>80.7548828125</v>
      </c>
      <c r="G200">
        <v>131.56970214843699</v>
      </c>
      <c r="H200">
        <v>171.00990295410099</v>
      </c>
      <c r="I200">
        <v>93.289131164550696</v>
      </c>
      <c r="J200">
        <v>219.57000732421801</v>
      </c>
      <c r="K200">
        <v>288.65515136718699</v>
      </c>
    </row>
    <row r="201" spans="1:11">
      <c r="A201" s="1">
        <v>45581</v>
      </c>
      <c r="B201">
        <v>154.89999389648401</v>
      </c>
      <c r="C201">
        <v>69.034873962402301</v>
      </c>
      <c r="D201">
        <v>413.69818115234301</v>
      </c>
      <c r="E201">
        <v>702</v>
      </c>
      <c r="F201">
        <v>82.544616699218693</v>
      </c>
      <c r="G201">
        <v>135.68873596191401</v>
      </c>
      <c r="H201">
        <v>169.62937927246</v>
      </c>
      <c r="I201">
        <v>93.701385498046804</v>
      </c>
      <c r="J201">
        <v>221.33000183105401</v>
      </c>
      <c r="K201">
        <v>288.813720703125</v>
      </c>
    </row>
    <row r="202" spans="1:11">
      <c r="A202" s="1">
        <v>45582</v>
      </c>
      <c r="B202">
        <v>155.30999755859301</v>
      </c>
      <c r="C202">
        <v>68.379455566406193</v>
      </c>
      <c r="D202">
        <v>414.29470825195301</v>
      </c>
      <c r="E202">
        <v>687.65002441406205</v>
      </c>
      <c r="F202">
        <v>82.013603210449205</v>
      </c>
      <c r="G202">
        <v>136.89846801757801</v>
      </c>
      <c r="H202">
        <v>169.81410217285099</v>
      </c>
      <c r="I202">
        <v>93.514884948730398</v>
      </c>
      <c r="J202">
        <v>220.88999938964801</v>
      </c>
      <c r="K202">
        <v>288.65515136718699</v>
      </c>
    </row>
    <row r="203" spans="1:11">
      <c r="A203" s="1">
        <v>45583</v>
      </c>
      <c r="B203">
        <v>155</v>
      </c>
      <c r="C203">
        <v>68.907699584960895</v>
      </c>
      <c r="D203">
        <v>415.72634887695301</v>
      </c>
      <c r="E203">
        <v>763.89001464843705</v>
      </c>
      <c r="F203">
        <v>81.541572570800696</v>
      </c>
      <c r="G203">
        <v>137.96821594238199</v>
      </c>
      <c r="H203">
        <v>170.19325256347599</v>
      </c>
      <c r="I203">
        <v>95.055969238281193</v>
      </c>
      <c r="J203">
        <v>220.69999694824199</v>
      </c>
      <c r="K203">
        <v>287.554595947265</v>
      </c>
    </row>
    <row r="204" spans="1:11">
      <c r="A204" s="1">
        <v>45586</v>
      </c>
      <c r="B204">
        <v>159.82000732421801</v>
      </c>
      <c r="C204">
        <v>67.939239501953097</v>
      </c>
      <c r="D204">
        <v>416.34274291992102</v>
      </c>
      <c r="E204">
        <v>772.07000732421795</v>
      </c>
      <c r="F204">
        <v>80.125518798828097</v>
      </c>
      <c r="G204">
        <v>143.67691040039</v>
      </c>
      <c r="H204">
        <v>170.14465332031199</v>
      </c>
      <c r="I204">
        <v>94.673149108886705</v>
      </c>
      <c r="J204">
        <v>218.850006103515</v>
      </c>
      <c r="K204">
        <v>288.02056884765602</v>
      </c>
    </row>
    <row r="205" spans="1:11">
      <c r="A205" s="1">
        <v>45587</v>
      </c>
      <c r="B205">
        <v>159.88000488281199</v>
      </c>
      <c r="C205">
        <v>67.939239501953097</v>
      </c>
      <c r="D205">
        <v>425.02191162109301</v>
      </c>
      <c r="E205">
        <v>764.239990234375</v>
      </c>
      <c r="F205">
        <v>80.066513061523395</v>
      </c>
      <c r="G205">
        <v>143.55694580078099</v>
      </c>
      <c r="H205">
        <v>169.52244567871</v>
      </c>
      <c r="I205">
        <v>95.036338806152301</v>
      </c>
      <c r="J205">
        <v>217.97000122070301</v>
      </c>
      <c r="K205">
        <v>289.24996948242102</v>
      </c>
    </row>
    <row r="206" spans="1:11">
      <c r="A206" s="1">
        <v>45588</v>
      </c>
      <c r="B206">
        <v>157.05999755859301</v>
      </c>
      <c r="C206">
        <v>66.530570983886705</v>
      </c>
      <c r="D206">
        <v>422.12887573242102</v>
      </c>
      <c r="E206">
        <v>749.28997802734295</v>
      </c>
      <c r="F206">
        <v>78.719291687011705</v>
      </c>
      <c r="G206">
        <v>139.52786254882801</v>
      </c>
      <c r="H206">
        <v>168.14192199707</v>
      </c>
      <c r="I206">
        <v>95.851043701171804</v>
      </c>
      <c r="J206">
        <v>213.64999389648401</v>
      </c>
      <c r="K206">
        <v>289.428466796875</v>
      </c>
    </row>
    <row r="207" spans="1:11">
      <c r="A207" s="1">
        <v>45589</v>
      </c>
      <c r="B207">
        <v>155.19999694824199</v>
      </c>
      <c r="C207">
        <v>65.836013793945298</v>
      </c>
      <c r="D207">
        <v>422.25811767578102</v>
      </c>
      <c r="E207">
        <v>754.54998779296795</v>
      </c>
      <c r="F207">
        <v>77.72607421875</v>
      </c>
      <c r="G207">
        <v>140.377670288085</v>
      </c>
      <c r="H207">
        <v>167.37388610839801</v>
      </c>
      <c r="I207">
        <v>95.360252380371094</v>
      </c>
      <c r="J207">
        <v>260.48001098632801</v>
      </c>
      <c r="K207">
        <v>288.05032348632801</v>
      </c>
    </row>
    <row r="208" spans="1:11">
      <c r="A208" s="1">
        <v>45590</v>
      </c>
      <c r="B208">
        <v>155.009994506835</v>
      </c>
      <c r="C208">
        <v>65.464271545410099</v>
      </c>
      <c r="D208">
        <v>425.658203125</v>
      </c>
      <c r="E208">
        <v>754.67999267578102</v>
      </c>
      <c r="F208">
        <v>77.539237976074205</v>
      </c>
      <c r="G208">
        <v>141.507400512695</v>
      </c>
      <c r="H208">
        <v>167.01416015625</v>
      </c>
      <c r="I208">
        <v>95.517303466796804</v>
      </c>
      <c r="J208">
        <v>269.19000244140602</v>
      </c>
      <c r="K208">
        <v>287.97100830078102</v>
      </c>
    </row>
    <row r="209" spans="1:11">
      <c r="A209" s="1">
        <v>45593</v>
      </c>
      <c r="B209">
        <v>150.69000244140599</v>
      </c>
      <c r="C209">
        <v>65.219711303710895</v>
      </c>
      <c r="D209">
        <v>424.10729980468699</v>
      </c>
      <c r="E209">
        <v>749.11999511718705</v>
      </c>
      <c r="F209">
        <v>77.598236083984304</v>
      </c>
      <c r="G209">
        <v>140.48765563964801</v>
      </c>
      <c r="H209">
        <v>165.11837768554599</v>
      </c>
      <c r="I209">
        <v>96.214225769042898</v>
      </c>
      <c r="J209">
        <v>262.510009765625</v>
      </c>
      <c r="K209">
        <v>289.626708984375</v>
      </c>
    </row>
    <row r="210" spans="1:11">
      <c r="A210" s="1">
        <v>45594</v>
      </c>
      <c r="B210">
        <v>152.97999572753901</v>
      </c>
      <c r="C210">
        <v>64.133850097656193</v>
      </c>
      <c r="D210">
        <v>429.43609619140602</v>
      </c>
      <c r="E210">
        <v>759.44000244140602</v>
      </c>
      <c r="F210">
        <v>77.096717834472599</v>
      </c>
      <c r="G210">
        <v>141.21746826171801</v>
      </c>
      <c r="H210">
        <v>162.84342956542901</v>
      </c>
      <c r="I210">
        <v>95.595840454101506</v>
      </c>
      <c r="J210">
        <v>259.51998901367102</v>
      </c>
      <c r="K210">
        <v>289.68621826171801</v>
      </c>
    </row>
    <row r="211" spans="1:11">
      <c r="A211" s="1">
        <v>45595</v>
      </c>
      <c r="B211">
        <v>154.28999328613199</v>
      </c>
      <c r="C211">
        <v>64.486022949218693</v>
      </c>
      <c r="D211">
        <v>430.01272583007801</v>
      </c>
      <c r="E211">
        <v>753.739990234375</v>
      </c>
      <c r="F211">
        <v>75.179122924804602</v>
      </c>
      <c r="G211">
        <v>139.30790710449199</v>
      </c>
      <c r="H211">
        <v>161.58929443359301</v>
      </c>
      <c r="I211">
        <v>95.527114868164006</v>
      </c>
      <c r="J211">
        <v>257.54998779296801</v>
      </c>
      <c r="K211">
        <v>291.03463745117102</v>
      </c>
    </row>
    <row r="212" spans="1:11">
      <c r="A212" s="1">
        <v>45596</v>
      </c>
      <c r="B212">
        <v>149.30999755859301</v>
      </c>
      <c r="C212">
        <v>63.889297485351499</v>
      </c>
      <c r="D212">
        <v>403.98507690429602</v>
      </c>
      <c r="E212">
        <v>756.030029296875</v>
      </c>
      <c r="F212">
        <v>75.847816467285099</v>
      </c>
      <c r="G212">
        <v>132.72943115234301</v>
      </c>
      <c r="H212">
        <v>161.46292114257801</v>
      </c>
      <c r="I212">
        <v>95.900115966796804</v>
      </c>
      <c r="J212">
        <v>249.850006103515</v>
      </c>
      <c r="K212">
        <v>299.61077880859301</v>
      </c>
    </row>
    <row r="213" spans="1:11">
      <c r="A213" s="1">
        <v>45597</v>
      </c>
      <c r="B213">
        <v>154.58999633789</v>
      </c>
      <c r="C213">
        <v>63.595829010009702</v>
      </c>
      <c r="D213">
        <v>407.981689453125</v>
      </c>
      <c r="E213">
        <v>756.09997558593705</v>
      </c>
      <c r="F213">
        <v>76.762367248535099</v>
      </c>
      <c r="G213">
        <v>135.36882019042901</v>
      </c>
      <c r="H213">
        <v>160.98652648925699</v>
      </c>
      <c r="I213">
        <v>97.048568725585895</v>
      </c>
      <c r="J213">
        <v>248.97999572753901</v>
      </c>
      <c r="K213">
        <v>296.74542236328102</v>
      </c>
    </row>
    <row r="214" spans="1:11">
      <c r="A214" s="1">
        <v>45600</v>
      </c>
      <c r="B214">
        <v>155.07000732421801</v>
      </c>
      <c r="C214">
        <v>63.693645477294901</v>
      </c>
      <c r="D214">
        <v>406.08279418945301</v>
      </c>
      <c r="E214">
        <v>755.510009765625</v>
      </c>
      <c r="F214">
        <v>75.906829833984304</v>
      </c>
      <c r="G214">
        <v>136.01867675781199</v>
      </c>
      <c r="H214">
        <v>161.71568298339801</v>
      </c>
      <c r="I214">
        <v>95.242469787597599</v>
      </c>
      <c r="J214">
        <v>242.83999633789</v>
      </c>
      <c r="K214">
        <v>300.23541259765602</v>
      </c>
    </row>
    <row r="215" spans="1:11">
      <c r="A215" s="1">
        <v>45601</v>
      </c>
      <c r="B215">
        <v>151</v>
      </c>
      <c r="C215">
        <v>63.948001861572202</v>
      </c>
      <c r="D215">
        <v>409.065338134765</v>
      </c>
      <c r="E215">
        <v>763.90997314453102</v>
      </c>
      <c r="F215">
        <v>76.683700561523395</v>
      </c>
      <c r="G215">
        <v>139.87777709960901</v>
      </c>
      <c r="H215">
        <v>163.18371582031199</v>
      </c>
      <c r="I215">
        <v>95.301353454589801</v>
      </c>
      <c r="J215">
        <v>251.44000244140599</v>
      </c>
      <c r="K215">
        <v>305.291900634765</v>
      </c>
    </row>
    <row r="216" spans="1:11">
      <c r="A216" s="1">
        <v>45602</v>
      </c>
      <c r="B216">
        <v>147.16000366210901</v>
      </c>
      <c r="C216">
        <v>62.314323425292898</v>
      </c>
      <c r="D216">
        <v>417.73458862304602</v>
      </c>
      <c r="E216">
        <v>780.21002197265602</v>
      </c>
      <c r="F216">
        <v>74.067909240722599</v>
      </c>
      <c r="G216">
        <v>145.57646179199199</v>
      </c>
      <c r="H216">
        <v>160.13101196289</v>
      </c>
      <c r="I216">
        <v>94.309967041015597</v>
      </c>
      <c r="J216">
        <v>288.52999877929602</v>
      </c>
      <c r="K216">
        <v>314.60174560546801</v>
      </c>
    </row>
    <row r="217" spans="1:11">
      <c r="A217" s="1">
        <v>45603</v>
      </c>
      <c r="B217">
        <v>150.97999572753901</v>
      </c>
      <c r="C217">
        <v>62.275192260742102</v>
      </c>
      <c r="D217">
        <v>422.954010009765</v>
      </c>
      <c r="E217">
        <v>796.53997802734295</v>
      </c>
      <c r="F217">
        <v>74.657943725585895</v>
      </c>
      <c r="G217">
        <v>148.84571838378901</v>
      </c>
      <c r="H217">
        <v>159.44073486328099</v>
      </c>
      <c r="I217">
        <v>94.349227905273395</v>
      </c>
      <c r="J217">
        <v>296.91000366210898</v>
      </c>
      <c r="K217">
        <v>313.20379638671801</v>
      </c>
    </row>
    <row r="218" spans="1:11">
      <c r="A218" s="1">
        <v>45604</v>
      </c>
      <c r="B218">
        <v>151.67999267578099</v>
      </c>
      <c r="C218">
        <v>62.529537200927699</v>
      </c>
      <c r="D218">
        <v>420.08087158203102</v>
      </c>
      <c r="E218">
        <v>795.03997802734295</v>
      </c>
      <c r="F218">
        <v>74.618606567382798</v>
      </c>
      <c r="G218">
        <v>147.59599304199199</v>
      </c>
      <c r="H218">
        <v>160.51988220214801</v>
      </c>
      <c r="I218">
        <v>95.752891540527301</v>
      </c>
      <c r="J218">
        <v>321.22000122070301</v>
      </c>
      <c r="K218">
        <v>313.600341796875</v>
      </c>
    </row>
    <row r="219" spans="1:11">
      <c r="A219" s="1">
        <v>45607</v>
      </c>
      <c r="B219">
        <v>148.96000671386699</v>
      </c>
      <c r="C219">
        <v>61.981719970703097</v>
      </c>
      <c r="D219">
        <v>415.57723999023398</v>
      </c>
      <c r="E219">
        <v>805.44000244140602</v>
      </c>
      <c r="F219">
        <v>75.326637268066406</v>
      </c>
      <c r="G219">
        <v>145.22654724121</v>
      </c>
      <c r="H219">
        <v>159.69349670410099</v>
      </c>
      <c r="I219">
        <v>98.462043762207003</v>
      </c>
      <c r="J219">
        <v>350</v>
      </c>
      <c r="K219">
        <v>312.48995971679602</v>
      </c>
    </row>
    <row r="220" spans="1:11">
      <c r="A220" s="1">
        <v>45608</v>
      </c>
      <c r="B220">
        <v>145.169998168945</v>
      </c>
      <c r="C220">
        <v>61.825199127197202</v>
      </c>
      <c r="D220">
        <v>420.56799316406199</v>
      </c>
      <c r="E220">
        <v>819.5</v>
      </c>
      <c r="F220">
        <v>75.385650634765597</v>
      </c>
      <c r="G220">
        <v>148.25582885742099</v>
      </c>
      <c r="H220">
        <v>159.77128601074199</v>
      </c>
      <c r="I220">
        <v>96.979866027832003</v>
      </c>
      <c r="J220">
        <v>328.489990234375</v>
      </c>
      <c r="K220">
        <v>314.70086669921801</v>
      </c>
    </row>
    <row r="221" spans="1:11">
      <c r="A221" s="1">
        <v>45609</v>
      </c>
      <c r="B221">
        <v>139.97000122070301</v>
      </c>
      <c r="C221">
        <v>61.629547119140597</v>
      </c>
      <c r="D221">
        <v>422.72537231445301</v>
      </c>
      <c r="E221">
        <v>830.469970703125</v>
      </c>
      <c r="F221">
        <v>75.247962951660099</v>
      </c>
      <c r="G221">
        <v>146.23631286621</v>
      </c>
      <c r="H221">
        <v>160.16018676757801</v>
      </c>
      <c r="I221">
        <v>97.961441040039006</v>
      </c>
      <c r="J221">
        <v>330.239990234375</v>
      </c>
      <c r="K221">
        <v>314.17541503906199</v>
      </c>
    </row>
    <row r="222" spans="1:11">
      <c r="A222" s="1">
        <v>45610</v>
      </c>
      <c r="B222">
        <v>138.13999938964801</v>
      </c>
      <c r="C222">
        <v>61.189338684082003</v>
      </c>
      <c r="D222">
        <v>424.40554809570301</v>
      </c>
      <c r="E222">
        <v>837.260009765625</v>
      </c>
      <c r="F222">
        <v>74.421928405761705</v>
      </c>
      <c r="G222">
        <v>146.72618103027301</v>
      </c>
      <c r="H222">
        <v>160.55874633789</v>
      </c>
      <c r="I222">
        <v>97.401939392089801</v>
      </c>
      <c r="J222">
        <v>311.17999267578102</v>
      </c>
      <c r="K222">
        <v>312.11315917968699</v>
      </c>
    </row>
    <row r="223" spans="1:11">
      <c r="A223" s="1">
        <v>45611</v>
      </c>
      <c r="B223">
        <v>140.19000244140599</v>
      </c>
      <c r="C223">
        <v>60.396957397460902</v>
      </c>
      <c r="D223">
        <v>412.58474731445301</v>
      </c>
      <c r="E223">
        <v>823.96002197265602</v>
      </c>
      <c r="F223">
        <v>75.385650634765597</v>
      </c>
      <c r="G223">
        <v>141.94729614257801</v>
      </c>
      <c r="H223">
        <v>154.21031188964801</v>
      </c>
      <c r="I223">
        <v>97.204399108886705</v>
      </c>
      <c r="J223">
        <v>320.72000122070301</v>
      </c>
      <c r="K223">
        <v>309.98147583007801</v>
      </c>
    </row>
    <row r="224" spans="1:11">
      <c r="A224" s="1">
        <v>45614</v>
      </c>
      <c r="B224">
        <v>143.86999511718699</v>
      </c>
      <c r="C224">
        <v>60.514350891113203</v>
      </c>
      <c r="D224">
        <v>413.34033203125</v>
      </c>
      <c r="E224">
        <v>847.04998779296795</v>
      </c>
      <c r="F224">
        <v>73.645057678222599</v>
      </c>
      <c r="G224">
        <v>140.11770629882801</v>
      </c>
      <c r="H224">
        <v>153.92835998535099</v>
      </c>
      <c r="I224">
        <v>99.159950256347599</v>
      </c>
      <c r="J224">
        <v>338.739990234375</v>
      </c>
      <c r="K224">
        <v>310.03109741210898</v>
      </c>
    </row>
    <row r="225" spans="1:11">
      <c r="A225" s="1">
        <v>45615</v>
      </c>
      <c r="B225">
        <v>145.600006103515</v>
      </c>
      <c r="C225">
        <v>61.228466033935497</v>
      </c>
      <c r="D225">
        <v>415.35848999023398</v>
      </c>
      <c r="E225">
        <v>871.32000732421795</v>
      </c>
      <c r="F225">
        <v>72.681358337402301</v>
      </c>
      <c r="G225">
        <v>146.97613525390599</v>
      </c>
      <c r="H225">
        <v>152.36312866210901</v>
      </c>
      <c r="I225">
        <v>97.135269165039006</v>
      </c>
      <c r="J225">
        <v>346</v>
      </c>
      <c r="K225">
        <v>304.96469116210898</v>
      </c>
    </row>
    <row r="226" spans="1:11">
      <c r="A226" s="1">
        <v>45616</v>
      </c>
      <c r="B226">
        <v>146.08000183105401</v>
      </c>
      <c r="C226">
        <v>61.619766235351499</v>
      </c>
      <c r="D226">
        <v>413.07186889648398</v>
      </c>
      <c r="E226">
        <v>883.84997558593705</v>
      </c>
      <c r="F226">
        <v>72.140495300292898</v>
      </c>
      <c r="G226">
        <v>145.85639953613199</v>
      </c>
      <c r="H226">
        <v>154.32698059082</v>
      </c>
      <c r="I226">
        <v>97.04638671875</v>
      </c>
      <c r="J226">
        <v>342.02999877929602</v>
      </c>
      <c r="K226">
        <v>305.975982666015</v>
      </c>
    </row>
    <row r="227" spans="1:11">
      <c r="A227" s="1">
        <v>45617</v>
      </c>
      <c r="B227">
        <v>143.41000366210901</v>
      </c>
      <c r="C227">
        <v>62.373016357421797</v>
      </c>
      <c r="D227">
        <v>411.28872680664</v>
      </c>
      <c r="E227">
        <v>897.47998046875</v>
      </c>
      <c r="F227">
        <v>73.851577758789006</v>
      </c>
      <c r="G227">
        <v>146.63623046875</v>
      </c>
      <c r="H227">
        <v>155.88249206542901</v>
      </c>
      <c r="I227">
        <v>98.824150085449205</v>
      </c>
      <c r="J227">
        <v>339.64001464843699</v>
      </c>
      <c r="K227">
        <v>311.47860717773398</v>
      </c>
    </row>
    <row r="228" spans="1:11">
      <c r="A228" s="1">
        <v>45618</v>
      </c>
      <c r="B228">
        <v>149.28999328613199</v>
      </c>
      <c r="C228">
        <v>62.529537200927699</v>
      </c>
      <c r="D228">
        <v>415.40289306640602</v>
      </c>
      <c r="E228">
        <v>897.78997802734295</v>
      </c>
      <c r="F228">
        <v>76.113334655761705</v>
      </c>
      <c r="G228">
        <v>141.91729736328099</v>
      </c>
      <c r="H228">
        <v>157.496322631835</v>
      </c>
      <c r="I228">
        <v>101.234016418457</v>
      </c>
      <c r="J228">
        <v>352.55999755859301</v>
      </c>
      <c r="K228">
        <v>311.71658325195301</v>
      </c>
    </row>
    <row r="229" spans="1:11">
      <c r="A229" s="1">
        <v>45621</v>
      </c>
      <c r="B229">
        <v>153.100006103515</v>
      </c>
      <c r="C229">
        <v>62.979526519775298</v>
      </c>
      <c r="D229">
        <v>417.18606567382801</v>
      </c>
      <c r="E229">
        <v>865.59002685546795</v>
      </c>
      <c r="F229">
        <v>77.942420959472599</v>
      </c>
      <c r="G229">
        <v>135.988677978515</v>
      </c>
      <c r="H229">
        <v>158.51715087890599</v>
      </c>
      <c r="I229">
        <v>100.582160949707</v>
      </c>
      <c r="J229">
        <v>338.58999633789</v>
      </c>
      <c r="K229">
        <v>311.94461059570301</v>
      </c>
    </row>
    <row r="230" spans="1:11">
      <c r="A230" s="1">
        <v>45622</v>
      </c>
      <c r="B230">
        <v>150.759994506835</v>
      </c>
      <c r="C230">
        <v>63.145835876464801</v>
      </c>
      <c r="D230">
        <v>426.350830078125</v>
      </c>
      <c r="E230">
        <v>872.59997558593705</v>
      </c>
      <c r="F230">
        <v>76.319854736328097</v>
      </c>
      <c r="G230">
        <v>136.88847351074199</v>
      </c>
      <c r="H230">
        <v>157.65190124511699</v>
      </c>
      <c r="I230">
        <v>99.436492919921804</v>
      </c>
      <c r="J230">
        <v>338.23001098632801</v>
      </c>
      <c r="K230">
        <v>313.94735717773398</v>
      </c>
    </row>
    <row r="231" spans="1:11">
      <c r="A231" s="1">
        <v>45623</v>
      </c>
      <c r="B231">
        <v>152.39999389648401</v>
      </c>
      <c r="C231">
        <v>63.0284423828125</v>
      </c>
      <c r="D231">
        <v>421.36996459960898</v>
      </c>
      <c r="E231">
        <v>877.34002685546795</v>
      </c>
      <c r="F231">
        <v>77.037704467773395</v>
      </c>
      <c r="G231">
        <v>135.308822631835</v>
      </c>
      <c r="H231">
        <v>158.19633483886699</v>
      </c>
      <c r="I231">
        <v>100.25624084472599</v>
      </c>
      <c r="J231">
        <v>332.89001464843699</v>
      </c>
      <c r="K231">
        <v>318.12145996093699</v>
      </c>
    </row>
    <row r="232" spans="1:11">
      <c r="A232" s="1">
        <v>45625</v>
      </c>
      <c r="B232">
        <v>155.44000244140599</v>
      </c>
      <c r="C232">
        <v>63.161506652832003</v>
      </c>
      <c r="D232">
        <v>421.83819580078102</v>
      </c>
      <c r="E232">
        <v>886.80999755859295</v>
      </c>
      <c r="F232">
        <v>77.460563659667898</v>
      </c>
      <c r="G232">
        <v>138.218170166015</v>
      </c>
      <c r="H232">
        <v>158.90603637695301</v>
      </c>
      <c r="I232">
        <v>101.19451141357401</v>
      </c>
      <c r="J232">
        <v>345.16000366210898</v>
      </c>
      <c r="K232">
        <v>319.251708984375</v>
      </c>
    </row>
    <row r="233" spans="1:11">
      <c r="A233" s="1">
        <v>45628</v>
      </c>
      <c r="B233">
        <v>156.53999328613199</v>
      </c>
      <c r="C233">
        <v>62.7376708984375</v>
      </c>
      <c r="D233">
        <v>429.32937622070301</v>
      </c>
      <c r="E233">
        <v>897.739990234375</v>
      </c>
      <c r="F233">
        <v>78.172203063964801</v>
      </c>
      <c r="G233">
        <v>138.59806823730401</v>
      </c>
      <c r="H233">
        <v>158.51715087890599</v>
      </c>
      <c r="I233">
        <v>100.25624084472599</v>
      </c>
      <c r="J233">
        <v>357.08999633789</v>
      </c>
      <c r="K233">
        <v>317.76452636718699</v>
      </c>
    </row>
    <row r="234" spans="1:11">
      <c r="A234" s="1">
        <v>45629</v>
      </c>
      <c r="B234">
        <v>155</v>
      </c>
      <c r="C234">
        <v>62.609531402587798</v>
      </c>
      <c r="D234">
        <v>429.54855346679602</v>
      </c>
      <c r="E234">
        <v>902.16998291015602</v>
      </c>
      <c r="F234">
        <v>77.944877624511705</v>
      </c>
      <c r="G234">
        <v>140.22770690917901</v>
      </c>
      <c r="H234">
        <v>157.20468139648401</v>
      </c>
      <c r="I234">
        <v>100.31549835205</v>
      </c>
      <c r="J234">
        <v>351.42001342773398</v>
      </c>
      <c r="K234">
        <v>326.25146484375</v>
      </c>
    </row>
    <row r="235" spans="1:11">
      <c r="A235" s="1">
        <v>45630</v>
      </c>
      <c r="B235">
        <v>158.27999877929599</v>
      </c>
      <c r="C235">
        <v>61.318305969238203</v>
      </c>
      <c r="D235">
        <v>435.74472045898398</v>
      </c>
      <c r="E235">
        <v>911.05999755859295</v>
      </c>
      <c r="F235">
        <v>77.460563659667898</v>
      </c>
      <c r="G235">
        <v>145.10656738281199</v>
      </c>
      <c r="H235">
        <v>155.72694396972599</v>
      </c>
      <c r="I235">
        <v>99.456237792968693</v>
      </c>
      <c r="J235">
        <v>357.92999267578102</v>
      </c>
      <c r="K235">
        <v>329.69183349609301</v>
      </c>
    </row>
    <row r="236" spans="1:11">
      <c r="A236" s="1">
        <v>45631</v>
      </c>
      <c r="B236">
        <v>156.669998168945</v>
      </c>
      <c r="C236">
        <v>62.018131256103501</v>
      </c>
      <c r="D236">
        <v>440.9248046875</v>
      </c>
      <c r="E236">
        <v>917.86999511718705</v>
      </c>
      <c r="F236">
        <v>77.668128967285099</v>
      </c>
      <c r="G236">
        <v>145.03659057617099</v>
      </c>
      <c r="H236">
        <v>156.0283203125</v>
      </c>
      <c r="I236">
        <v>98.004402160644503</v>
      </c>
      <c r="J236">
        <v>369.489990234375</v>
      </c>
      <c r="K236">
        <v>327.18341064453102</v>
      </c>
    </row>
    <row r="237" spans="1:11">
      <c r="A237" s="1">
        <v>45632</v>
      </c>
      <c r="B237">
        <v>153.92999267578099</v>
      </c>
      <c r="C237">
        <v>61.633720397949197</v>
      </c>
      <c r="D237">
        <v>441.87115478515602</v>
      </c>
      <c r="E237">
        <v>934.739990234375</v>
      </c>
      <c r="F237">
        <v>77.974525451660099</v>
      </c>
      <c r="G237">
        <v>142.41702270507801</v>
      </c>
      <c r="H237">
        <v>154.70956420898401</v>
      </c>
      <c r="I237">
        <v>98.87353515625</v>
      </c>
      <c r="J237">
        <v>389.22000122070301</v>
      </c>
      <c r="K237">
        <v>319.81686401367102</v>
      </c>
    </row>
    <row r="238" spans="1:11">
      <c r="A238" s="1">
        <v>45635</v>
      </c>
      <c r="B238">
        <v>157.03999328613199</v>
      </c>
      <c r="C238">
        <v>61.7027168273925</v>
      </c>
      <c r="D238">
        <v>444.311767578125</v>
      </c>
      <c r="E238">
        <v>913.69000244140602</v>
      </c>
      <c r="F238">
        <v>76.739036560058594</v>
      </c>
      <c r="G238">
        <v>138.78758239746</v>
      </c>
      <c r="H238">
        <v>156.35678100585901</v>
      </c>
      <c r="I238">
        <v>98.083412170410099</v>
      </c>
      <c r="J238">
        <v>389.79000854492102</v>
      </c>
      <c r="K238">
        <v>309.55520629882801</v>
      </c>
    </row>
    <row r="239" spans="1:11">
      <c r="A239" s="1">
        <v>45636</v>
      </c>
      <c r="B239">
        <v>164.100006103515</v>
      </c>
      <c r="C239">
        <v>62.008274078369098</v>
      </c>
      <c r="D239">
        <v>441.63204956054602</v>
      </c>
      <c r="E239">
        <v>913.34997558593705</v>
      </c>
      <c r="F239">
        <v>75.849479675292898</v>
      </c>
      <c r="G239">
        <v>135.04820251464801</v>
      </c>
      <c r="H239">
        <v>156.71954345703099</v>
      </c>
      <c r="I239">
        <v>96.947624206542898</v>
      </c>
      <c r="J239">
        <v>400.989990234375</v>
      </c>
      <c r="K239">
        <v>305.02420043945301</v>
      </c>
    </row>
    <row r="240" spans="1:11">
      <c r="A240" s="1">
        <v>45637</v>
      </c>
      <c r="B240">
        <v>165.96000671386699</v>
      </c>
      <c r="C240">
        <v>61.74214553833</v>
      </c>
      <c r="D240">
        <v>447.270416259765</v>
      </c>
      <c r="E240">
        <v>936.55999755859295</v>
      </c>
      <c r="F240">
        <v>77.934997558593693</v>
      </c>
      <c r="G240">
        <v>139.287506103515</v>
      </c>
      <c r="H240">
        <v>153.70948791503901</v>
      </c>
      <c r="I240">
        <v>97.204399108886705</v>
      </c>
      <c r="J240">
        <v>424.76998901367102</v>
      </c>
      <c r="K240">
        <v>307.19549560546801</v>
      </c>
    </row>
    <row r="241" spans="1:11">
      <c r="A241" s="1">
        <v>45638</v>
      </c>
      <c r="B241">
        <v>167.75</v>
      </c>
      <c r="C241">
        <v>62.9249458312988</v>
      </c>
      <c r="D241">
        <v>447.83819580078102</v>
      </c>
      <c r="E241">
        <v>925.54998779296795</v>
      </c>
      <c r="F241">
        <v>77.055320739746094</v>
      </c>
      <c r="G241">
        <v>137.31782531738199</v>
      </c>
      <c r="H241">
        <v>155.79789733886699</v>
      </c>
      <c r="I241">
        <v>96.61181640625</v>
      </c>
      <c r="J241">
        <v>418.100006103515</v>
      </c>
      <c r="K241">
        <v>305.738037109375</v>
      </c>
    </row>
    <row r="242" spans="1:11">
      <c r="A242" s="1">
        <v>45639</v>
      </c>
      <c r="B242">
        <v>169.64999389648401</v>
      </c>
      <c r="C242">
        <v>62.215263366699197</v>
      </c>
      <c r="D242">
        <v>445.55697631835898</v>
      </c>
      <c r="E242">
        <v>918.86999511718705</v>
      </c>
      <c r="F242">
        <v>76.353561401367102</v>
      </c>
      <c r="G242">
        <v>134.22833251953099</v>
      </c>
      <c r="H242">
        <v>154.88606262207</v>
      </c>
      <c r="I242">
        <v>96.216758728027301</v>
      </c>
      <c r="J242">
        <v>436.23001098632801</v>
      </c>
      <c r="K242">
        <v>308.73226928710898</v>
      </c>
    </row>
    <row r="243" spans="1:11">
      <c r="A243" s="1">
        <v>45642</v>
      </c>
      <c r="B243">
        <v>173.169998168945</v>
      </c>
      <c r="C243">
        <v>61.653434753417898</v>
      </c>
      <c r="D243">
        <v>449.86041259765602</v>
      </c>
      <c r="E243">
        <v>921.08001708984295</v>
      </c>
      <c r="F243">
        <v>76.304138183593693</v>
      </c>
      <c r="G243">
        <v>131.97868347167901</v>
      </c>
      <c r="H243">
        <v>152.97413635253901</v>
      </c>
      <c r="I243">
        <v>91.969871520996094</v>
      </c>
      <c r="J243">
        <v>463.01998901367102</v>
      </c>
      <c r="K243">
        <v>310.47723388671801</v>
      </c>
    </row>
    <row r="244" spans="1:11">
      <c r="A244" s="1">
        <v>45643</v>
      </c>
      <c r="B244">
        <v>173.02999877929599</v>
      </c>
      <c r="C244">
        <v>62.491252899169901</v>
      </c>
      <c r="D244">
        <v>452.71945190429602</v>
      </c>
      <c r="E244">
        <v>919.13000488281205</v>
      </c>
      <c r="F244">
        <v>77.094856262207003</v>
      </c>
      <c r="G244">
        <v>130.36895751953099</v>
      </c>
      <c r="H244">
        <v>153.09178161621</v>
      </c>
      <c r="I244">
        <v>90.952583312988196</v>
      </c>
      <c r="J244">
        <v>479.85998535156199</v>
      </c>
      <c r="K244">
        <v>307.879638671875</v>
      </c>
    </row>
    <row r="245" spans="1:11">
      <c r="A245" s="1">
        <v>45644</v>
      </c>
      <c r="B245">
        <v>172.61999511718699</v>
      </c>
      <c r="C245">
        <v>61.949131011962798</v>
      </c>
      <c r="D245">
        <v>435.71484375</v>
      </c>
      <c r="E245">
        <v>889.54998779296795</v>
      </c>
      <c r="F245">
        <v>76.007621765136705</v>
      </c>
      <c r="G245">
        <v>128.88919067382801</v>
      </c>
      <c r="H245">
        <v>151.41516113281199</v>
      </c>
      <c r="I245">
        <v>88.789634704589801</v>
      </c>
      <c r="J245">
        <v>440.13000488281199</v>
      </c>
      <c r="K245">
        <v>304.925048828125</v>
      </c>
    </row>
    <row r="246" spans="1:11">
      <c r="A246" s="1">
        <v>45645</v>
      </c>
      <c r="B246">
        <v>177.03999328613199</v>
      </c>
      <c r="C246">
        <v>61.5548706054687</v>
      </c>
      <c r="D246">
        <v>435.356201171875</v>
      </c>
      <c r="E246">
        <v>902.03997802734295</v>
      </c>
      <c r="F246">
        <v>76.205299377441406</v>
      </c>
      <c r="G246">
        <v>130.65888977050699</v>
      </c>
      <c r="H246">
        <v>148.51295471191401</v>
      </c>
      <c r="I246">
        <v>87.663719177246094</v>
      </c>
      <c r="J246">
        <v>436.17001342773398</v>
      </c>
      <c r="K246">
        <v>308.34558105468699</v>
      </c>
    </row>
    <row r="247" spans="1:11">
      <c r="A247" s="1">
        <v>45646</v>
      </c>
      <c r="B247">
        <v>177.350006103515</v>
      </c>
      <c r="C247">
        <v>61.653434753417898</v>
      </c>
      <c r="D247">
        <v>434.92788696289</v>
      </c>
      <c r="E247">
        <v>909.04998779296795</v>
      </c>
      <c r="F247">
        <v>76.047157287597599</v>
      </c>
      <c r="G247">
        <v>134.67825317382801</v>
      </c>
      <c r="H247">
        <v>149.80717468261699</v>
      </c>
      <c r="I247">
        <v>86.883476257324205</v>
      </c>
      <c r="J247">
        <v>421.05999755859301</v>
      </c>
      <c r="K247">
        <v>314.85955810546801</v>
      </c>
    </row>
    <row r="248" spans="1:11">
      <c r="A248" s="1">
        <v>45649</v>
      </c>
      <c r="B248">
        <v>177.69000244140599</v>
      </c>
      <c r="C248">
        <v>61.485874176025298</v>
      </c>
      <c r="D248">
        <v>433.58303833007801</v>
      </c>
      <c r="E248">
        <v>911.45001220703102</v>
      </c>
      <c r="F248">
        <v>75.869247436523395</v>
      </c>
      <c r="G248">
        <v>139.64744567871</v>
      </c>
      <c r="H248">
        <v>148.33647155761699</v>
      </c>
      <c r="I248">
        <v>86.360023498535099</v>
      </c>
      <c r="J248">
        <v>430.600006103515</v>
      </c>
      <c r="K248">
        <v>311.69677734375</v>
      </c>
    </row>
    <row r="249" spans="1:11">
      <c r="A249" s="1">
        <v>45650</v>
      </c>
      <c r="B249">
        <v>179.33999633789</v>
      </c>
      <c r="C249">
        <v>61.939281463622997</v>
      </c>
      <c r="D249">
        <v>437.64739990234301</v>
      </c>
      <c r="E249">
        <v>932.11999511718705</v>
      </c>
      <c r="F249">
        <v>75.898895263671804</v>
      </c>
      <c r="G249">
        <v>140.19737243652301</v>
      </c>
      <c r="H249">
        <v>149.82679748535099</v>
      </c>
      <c r="I249">
        <v>88.799514770507798</v>
      </c>
      <c r="J249">
        <v>462.27999877929602</v>
      </c>
      <c r="K249">
        <v>313.33267211914</v>
      </c>
    </row>
    <row r="250" spans="1:11">
      <c r="A250" s="1">
        <v>45652</v>
      </c>
      <c r="B250">
        <v>180.38000488281199</v>
      </c>
      <c r="C250">
        <v>61.673149108886697</v>
      </c>
      <c r="D250">
        <v>436.43206787109301</v>
      </c>
      <c r="E250">
        <v>924.14001464843705</v>
      </c>
      <c r="F250">
        <v>76.047157287597599</v>
      </c>
      <c r="G250">
        <v>139.90740966796801</v>
      </c>
      <c r="H250">
        <v>149.46401977539</v>
      </c>
      <c r="I250">
        <v>90.725425720214801</v>
      </c>
      <c r="J250">
        <v>454.13000488281199</v>
      </c>
      <c r="K250">
        <v>315.15695190429602</v>
      </c>
    </row>
    <row r="251" spans="1:11">
      <c r="A251" s="1">
        <v>45653</v>
      </c>
      <c r="B251">
        <v>180.72000122070301</v>
      </c>
      <c r="C251">
        <v>61.5548706054687</v>
      </c>
      <c r="D251">
        <v>428.881103515625</v>
      </c>
      <c r="E251">
        <v>907.54998779296795</v>
      </c>
      <c r="F251">
        <v>75.533187866210895</v>
      </c>
      <c r="G251">
        <v>136.987869262695</v>
      </c>
      <c r="H251">
        <v>149.90522766113199</v>
      </c>
      <c r="I251">
        <v>91.110610961914006</v>
      </c>
      <c r="J251">
        <v>431.66000366210898</v>
      </c>
      <c r="K251">
        <v>313.61029052734301</v>
      </c>
    </row>
    <row r="252" spans="1:11">
      <c r="A252" s="1">
        <v>45656</v>
      </c>
      <c r="B252">
        <v>176.55000305175699</v>
      </c>
      <c r="C252">
        <v>61.1408882141113</v>
      </c>
      <c r="D252">
        <v>423.20291137695301</v>
      </c>
      <c r="E252">
        <v>900.42999267578102</v>
      </c>
      <c r="F252">
        <v>73.783737182617102</v>
      </c>
      <c r="G252">
        <v>137.46780395507801</v>
      </c>
      <c r="H252">
        <v>148.75807189941401</v>
      </c>
      <c r="I252">
        <v>89.461242675781193</v>
      </c>
      <c r="J252">
        <v>417.41000366210898</v>
      </c>
      <c r="K252">
        <v>310.56646728515602</v>
      </c>
    </row>
    <row r="253" spans="1:11">
      <c r="A253" s="1">
        <v>45657</v>
      </c>
      <c r="B253">
        <v>177</v>
      </c>
      <c r="C253">
        <v>61.367588043212798</v>
      </c>
      <c r="D253">
        <v>419.88568115234301</v>
      </c>
      <c r="E253">
        <v>891.32000732421795</v>
      </c>
      <c r="F253">
        <v>74.791893005371094</v>
      </c>
      <c r="G253">
        <v>134.26832580566401</v>
      </c>
      <c r="H253">
        <v>149.09144592285099</v>
      </c>
      <c r="I253">
        <v>90.122962951660099</v>
      </c>
      <c r="J253">
        <v>403.83999633789</v>
      </c>
      <c r="K253">
        <v>311.44143676757801</v>
      </c>
    </row>
    <row r="254" spans="1:11">
      <c r="A254" s="1">
        <v>45659</v>
      </c>
      <c r="B254">
        <v>171.86999511718699</v>
      </c>
      <c r="C254">
        <v>60.95361328125</v>
      </c>
      <c r="D254">
        <v>416.97686767578102</v>
      </c>
      <c r="E254">
        <v>886.72998046875</v>
      </c>
      <c r="F254">
        <v>72.815101623535099</v>
      </c>
      <c r="G254">
        <v>138.287673950195</v>
      </c>
      <c r="H254">
        <v>147.27755737304599</v>
      </c>
      <c r="I254">
        <v>91.031600952148395</v>
      </c>
      <c r="J254">
        <v>379.27999877929602</v>
      </c>
      <c r="K254">
        <v>307.49420166015602</v>
      </c>
    </row>
    <row r="255" spans="1:11">
      <c r="A255" s="1">
        <v>45660</v>
      </c>
      <c r="B255">
        <v>169.89999389648401</v>
      </c>
      <c r="C255">
        <v>60.864902496337798</v>
      </c>
      <c r="D255">
        <v>421.72860717773398</v>
      </c>
      <c r="E255">
        <v>881.04998779296795</v>
      </c>
      <c r="F255">
        <v>72.459281921386705</v>
      </c>
      <c r="G255">
        <v>144.446685791015</v>
      </c>
      <c r="H255">
        <v>146.72848510742099</v>
      </c>
      <c r="I255">
        <v>91.436538696289006</v>
      </c>
      <c r="J255">
        <v>410.44000244140602</v>
      </c>
      <c r="K255">
        <v>307.26556396484301</v>
      </c>
    </row>
    <row r="256" spans="1:11">
      <c r="A256" s="1">
        <v>45663</v>
      </c>
      <c r="B256">
        <v>170.77999877929599</v>
      </c>
      <c r="C256">
        <v>59.938377380371001</v>
      </c>
      <c r="D256">
        <v>426.21136474609301</v>
      </c>
      <c r="E256">
        <v>881.78997802734295</v>
      </c>
      <c r="F256">
        <v>71.164482116699205</v>
      </c>
      <c r="G256">
        <v>149.40586853027301</v>
      </c>
      <c r="H256">
        <v>143.41447448730401</v>
      </c>
      <c r="I256">
        <v>91.979736328125</v>
      </c>
      <c r="J256">
        <v>411.04998779296801</v>
      </c>
      <c r="K256">
        <v>304.84948730468699</v>
      </c>
    </row>
    <row r="257" spans="1:11">
      <c r="A257" s="1">
        <v>45664</v>
      </c>
      <c r="B257">
        <v>172.509994506835</v>
      </c>
      <c r="C257">
        <v>59.967945098876903</v>
      </c>
      <c r="D257">
        <v>420.752349853515</v>
      </c>
      <c r="E257">
        <v>879.19000244140602</v>
      </c>
      <c r="F257">
        <v>71.253433227539006</v>
      </c>
      <c r="G257">
        <v>140.11737060546801</v>
      </c>
      <c r="H257">
        <v>142.56144714355401</v>
      </c>
      <c r="I257">
        <v>91.693321228027301</v>
      </c>
      <c r="J257">
        <v>394.35998535156199</v>
      </c>
      <c r="K257">
        <v>307.22579956054602</v>
      </c>
    </row>
    <row r="258" spans="1:11">
      <c r="A258" s="1">
        <v>45665</v>
      </c>
      <c r="B258">
        <v>171.759994506835</v>
      </c>
      <c r="C258">
        <v>60.825477600097599</v>
      </c>
      <c r="D258">
        <v>422.93395996093699</v>
      </c>
      <c r="E258">
        <v>875</v>
      </c>
      <c r="F258">
        <v>70.462722778320298</v>
      </c>
      <c r="G258">
        <v>140.08738708496</v>
      </c>
      <c r="H258">
        <v>143.67919921875</v>
      </c>
      <c r="I258">
        <v>91.456283569335895</v>
      </c>
      <c r="J258">
        <v>394.94000244140602</v>
      </c>
      <c r="K258">
        <v>312.34619140625</v>
      </c>
    </row>
    <row r="259" spans="1:11">
      <c r="A259" s="1">
        <v>45667</v>
      </c>
      <c r="B259">
        <v>172</v>
      </c>
      <c r="C259">
        <v>60.194648742675703</v>
      </c>
      <c r="D259">
        <v>417.345458984375</v>
      </c>
      <c r="E259">
        <v>837.69000244140602</v>
      </c>
      <c r="F259">
        <v>70.373764038085895</v>
      </c>
      <c r="G259">
        <v>135.88807678222599</v>
      </c>
      <c r="H259">
        <v>139.85533142089801</v>
      </c>
      <c r="I259">
        <v>91.110610961914006</v>
      </c>
      <c r="J259">
        <v>394.739990234375</v>
      </c>
      <c r="K259">
        <v>311.123291015625</v>
      </c>
    </row>
    <row r="260" spans="1:11">
      <c r="A260" s="1">
        <v>45670</v>
      </c>
      <c r="B260">
        <v>170.57000732421801</v>
      </c>
      <c r="C260">
        <v>60.766338348388601</v>
      </c>
      <c r="D260">
        <v>415.592193603515</v>
      </c>
      <c r="E260">
        <v>840.28997802734295</v>
      </c>
      <c r="F260">
        <v>71.243560791015597</v>
      </c>
      <c r="G260">
        <v>133.20849609375</v>
      </c>
      <c r="H260">
        <v>141.67903137207</v>
      </c>
      <c r="I260">
        <v>92.355049133300696</v>
      </c>
      <c r="J260">
        <v>403.30999755859301</v>
      </c>
      <c r="K260">
        <v>309.47280883789</v>
      </c>
    </row>
    <row r="261" spans="1:11">
      <c r="A261" s="1">
        <v>45671</v>
      </c>
      <c r="B261">
        <v>167.02000427246</v>
      </c>
      <c r="C261">
        <v>61.150745391845703</v>
      </c>
      <c r="D261">
        <v>414.078033447265</v>
      </c>
      <c r="E261">
        <v>828.40002441406205</v>
      </c>
      <c r="F261">
        <v>70.344108581542898</v>
      </c>
      <c r="G261">
        <v>131.73872375488199</v>
      </c>
      <c r="H261">
        <v>142.12023925781199</v>
      </c>
      <c r="I261">
        <v>91.920478820800696</v>
      </c>
      <c r="J261">
        <v>396.35998535156199</v>
      </c>
      <c r="K261">
        <v>311.44143676757801</v>
      </c>
    </row>
    <row r="262" spans="1:11">
      <c r="A262" s="1">
        <v>45672</v>
      </c>
      <c r="B262">
        <v>166.19999694824199</v>
      </c>
      <c r="C262">
        <v>60.884613037109297</v>
      </c>
      <c r="D262">
        <v>424.67724609375</v>
      </c>
      <c r="E262">
        <v>848.260009765625</v>
      </c>
      <c r="F262">
        <v>70.245277404785099</v>
      </c>
      <c r="G262">
        <v>136.218017578125</v>
      </c>
      <c r="H262">
        <v>141.95356750488199</v>
      </c>
      <c r="I262">
        <v>91.930358886718693</v>
      </c>
      <c r="J262">
        <v>428.22000122070301</v>
      </c>
      <c r="K262">
        <v>311.55081176757801</v>
      </c>
    </row>
    <row r="263" spans="1:11">
      <c r="A263" s="1">
        <v>45673</v>
      </c>
      <c r="B263">
        <v>168.92999267578099</v>
      </c>
      <c r="C263">
        <v>61.357738494872997</v>
      </c>
      <c r="D263">
        <v>422.953857421875</v>
      </c>
      <c r="E263">
        <v>842.36999511718705</v>
      </c>
      <c r="F263">
        <v>70.284812927246094</v>
      </c>
      <c r="G263">
        <v>133.54844665527301</v>
      </c>
      <c r="H263">
        <v>143.67919921875</v>
      </c>
      <c r="I263">
        <v>93.263687133789006</v>
      </c>
      <c r="J263">
        <v>413.82000732421801</v>
      </c>
      <c r="K263">
        <v>320.27044677734301</v>
      </c>
    </row>
    <row r="264" spans="1:11">
      <c r="A264" s="1">
        <v>45674</v>
      </c>
      <c r="B264">
        <v>171.08999633789</v>
      </c>
      <c r="C264">
        <v>61.811141967773402</v>
      </c>
      <c r="D264">
        <v>427.38684082031199</v>
      </c>
      <c r="E264">
        <v>858.09997558593705</v>
      </c>
      <c r="F264">
        <v>70.0179443359375</v>
      </c>
      <c r="G264">
        <v>137.68777465820301</v>
      </c>
      <c r="H264">
        <v>145.35581970214801</v>
      </c>
      <c r="I264">
        <v>93.955039978027301</v>
      </c>
      <c r="J264">
        <v>426.5</v>
      </c>
      <c r="K264">
        <v>318.80886840820301</v>
      </c>
    </row>
    <row r="265" spans="1:11">
      <c r="A265" s="1">
        <v>45678</v>
      </c>
      <c r="B265">
        <v>175.55999755859301</v>
      </c>
      <c r="C265">
        <v>61.525295257568303</v>
      </c>
      <c r="D265">
        <v>426.85888671875</v>
      </c>
      <c r="E265">
        <v>869.67999267578102</v>
      </c>
      <c r="F265">
        <v>72.320907592773395</v>
      </c>
      <c r="G265">
        <v>140.80726623535099</v>
      </c>
      <c r="H265">
        <v>145.64994812011699</v>
      </c>
      <c r="I265">
        <v>96.769844055175696</v>
      </c>
      <c r="J265">
        <v>424.07000732421801</v>
      </c>
      <c r="K265">
        <v>320.63830566406199</v>
      </c>
    </row>
    <row r="266" spans="1:11">
      <c r="A266" s="1">
        <v>45679</v>
      </c>
      <c r="B266">
        <v>174.80000305175699</v>
      </c>
      <c r="C266">
        <v>60.8944702148437</v>
      </c>
      <c r="D266">
        <v>444.49108886718699</v>
      </c>
      <c r="E266">
        <v>953.989990234375</v>
      </c>
      <c r="F266">
        <v>73.180816650390597</v>
      </c>
      <c r="G266">
        <v>147.04627990722599</v>
      </c>
      <c r="H266">
        <v>145.19894409179599</v>
      </c>
      <c r="I266">
        <v>96.522933959960895</v>
      </c>
      <c r="J266">
        <v>415.10998535156199</v>
      </c>
      <c r="K266">
        <v>318.82876586914</v>
      </c>
    </row>
    <row r="267" spans="1:11">
      <c r="A267" s="1">
        <v>45680</v>
      </c>
      <c r="B267">
        <v>178.5</v>
      </c>
      <c r="C267">
        <v>60.648052215576101</v>
      </c>
      <c r="D267">
        <v>444.99911499023398</v>
      </c>
      <c r="E267">
        <v>984.85998535156205</v>
      </c>
      <c r="F267">
        <v>73.427917480468693</v>
      </c>
      <c r="G267">
        <v>147.19624328613199</v>
      </c>
      <c r="H267">
        <v>145.71858215332</v>
      </c>
      <c r="I267">
        <v>96.779708862304602</v>
      </c>
      <c r="J267">
        <v>412.38000488281199</v>
      </c>
      <c r="K267">
        <v>317.168365478515</v>
      </c>
    </row>
    <row r="268" spans="1:11">
      <c r="A268" s="1">
        <v>45681</v>
      </c>
      <c r="B268">
        <v>176.05999755859301</v>
      </c>
      <c r="C268">
        <v>61.032463073730398</v>
      </c>
      <c r="D268">
        <v>442.359283447265</v>
      </c>
      <c r="E268">
        <v>977.59002685546795</v>
      </c>
      <c r="F268">
        <v>72.716270446777301</v>
      </c>
      <c r="G268">
        <v>142.59696960449199</v>
      </c>
      <c r="H268">
        <v>146.20883178710901</v>
      </c>
      <c r="I268">
        <v>97.589584350585895</v>
      </c>
      <c r="J268">
        <v>406.579986572265</v>
      </c>
      <c r="K268">
        <v>320.51901245117102</v>
      </c>
    </row>
    <row r="269" spans="1:11">
      <c r="A269" s="1">
        <v>45684</v>
      </c>
      <c r="B269">
        <v>175.16000366210901</v>
      </c>
      <c r="C269">
        <v>62.954513549804602</v>
      </c>
      <c r="D269">
        <v>432.89566040039</v>
      </c>
      <c r="E269">
        <v>971.89001464843705</v>
      </c>
      <c r="F269">
        <v>74.702941894531193</v>
      </c>
      <c r="G269">
        <v>118.40088653564401</v>
      </c>
      <c r="H269">
        <v>151.59165954589801</v>
      </c>
      <c r="I269">
        <v>98.784637451171804</v>
      </c>
      <c r="J269">
        <v>397.14999389648398</v>
      </c>
      <c r="K269">
        <v>327.54840087890602</v>
      </c>
    </row>
    <row r="270" spans="1:11">
      <c r="A270" s="1">
        <v>45685</v>
      </c>
      <c r="B270">
        <v>177.77999877929599</v>
      </c>
      <c r="C270">
        <v>61.466159820556598</v>
      </c>
      <c r="D270">
        <v>445.48727416992102</v>
      </c>
      <c r="E270">
        <v>971.83001708984295</v>
      </c>
      <c r="F270">
        <v>73.526748657226506</v>
      </c>
      <c r="G270">
        <v>128.96919250488199</v>
      </c>
      <c r="H270">
        <v>147.31677246093699</v>
      </c>
      <c r="I270">
        <v>99.169830322265597</v>
      </c>
      <c r="J270">
        <v>398.08999633789</v>
      </c>
      <c r="K270">
        <v>324.19778442382801</v>
      </c>
    </row>
    <row r="271" spans="1:11">
      <c r="A271" s="1">
        <v>45686</v>
      </c>
      <c r="B271">
        <v>173.66000366210901</v>
      </c>
      <c r="C271">
        <v>61.929424285888601</v>
      </c>
      <c r="D271">
        <v>440.63589477539</v>
      </c>
      <c r="E271">
        <v>978.15002441406205</v>
      </c>
      <c r="F271">
        <v>75.691337585449205</v>
      </c>
      <c r="G271">
        <v>123.680030822753</v>
      </c>
      <c r="H271">
        <v>147.43441772460901</v>
      </c>
      <c r="I271">
        <v>107.23892211914</v>
      </c>
      <c r="J271">
        <v>389.100006103515</v>
      </c>
      <c r="K271">
        <v>322.67654418945301</v>
      </c>
    </row>
    <row r="272" spans="1:11">
      <c r="A272" s="1">
        <v>45687</v>
      </c>
      <c r="B272">
        <v>179.52999877929599</v>
      </c>
      <c r="C272">
        <v>63.131938934326101</v>
      </c>
      <c r="D272">
        <v>413.40060424804602</v>
      </c>
      <c r="E272">
        <v>973.239990234375</v>
      </c>
      <c r="F272">
        <v>77.421035766601506</v>
      </c>
      <c r="G272">
        <v>124.629875183105</v>
      </c>
      <c r="H272">
        <v>148.93455505371</v>
      </c>
      <c r="I272">
        <v>107.65373229980401</v>
      </c>
      <c r="J272">
        <v>400.27999877929602</v>
      </c>
      <c r="K272">
        <v>327.93618774414</v>
      </c>
    </row>
    <row r="273" spans="1:11">
      <c r="A273" s="1">
        <v>45688</v>
      </c>
      <c r="B273">
        <v>176.52000427246</v>
      </c>
      <c r="C273">
        <v>62.570106506347599</v>
      </c>
      <c r="D273">
        <v>413.47033691406199</v>
      </c>
      <c r="E273">
        <v>976.760009765625</v>
      </c>
      <c r="F273">
        <v>76.007621765136705</v>
      </c>
      <c r="G273">
        <v>120.05062103271401</v>
      </c>
      <c r="H273">
        <v>147.74818420410099</v>
      </c>
      <c r="I273">
        <v>106.350036621093</v>
      </c>
      <c r="J273">
        <v>404.600006103515</v>
      </c>
      <c r="K273">
        <v>327.67767333984301</v>
      </c>
    </row>
    <row r="274" spans="1:11">
      <c r="A274" s="1">
        <v>45691</v>
      </c>
      <c r="B274">
        <v>175.86999511718699</v>
      </c>
      <c r="C274">
        <v>62.441967010497997</v>
      </c>
      <c r="D274">
        <v>409.34622192382801</v>
      </c>
      <c r="E274">
        <v>978.94000244140602</v>
      </c>
      <c r="F274">
        <v>75.701217651367102</v>
      </c>
      <c r="G274">
        <v>116.64117431640599</v>
      </c>
      <c r="H274">
        <v>147.33639526367099</v>
      </c>
      <c r="I274">
        <v>106.82411193847599</v>
      </c>
      <c r="J274">
        <v>383.67999267578102</v>
      </c>
      <c r="K274">
        <v>328.77136230468699</v>
      </c>
    </row>
    <row r="275" spans="1:11">
      <c r="A275" s="1">
        <v>45692</v>
      </c>
      <c r="B275">
        <v>176.22999572753901</v>
      </c>
      <c r="C275">
        <v>61.771713256835902</v>
      </c>
      <c r="D275">
        <v>410.79064941406199</v>
      </c>
      <c r="E275">
        <v>994.86999511718705</v>
      </c>
      <c r="F275">
        <v>75.8297119140625</v>
      </c>
      <c r="G275">
        <v>118.630851745605</v>
      </c>
      <c r="H275">
        <v>140.68875122070301</v>
      </c>
      <c r="I275">
        <v>109.23397064208901</v>
      </c>
      <c r="J275">
        <v>392.20999145507801</v>
      </c>
      <c r="K275">
        <v>318.47082519531199</v>
      </c>
    </row>
    <row r="276" spans="1:11">
      <c r="A276" s="1">
        <v>45693</v>
      </c>
      <c r="B276">
        <v>181.83999633789</v>
      </c>
      <c r="C276">
        <v>62.215263366699197</v>
      </c>
      <c r="D276">
        <v>411.70712280273398</v>
      </c>
      <c r="E276">
        <v>1011.10998535156</v>
      </c>
      <c r="F276">
        <v>73.704658508300696</v>
      </c>
      <c r="G276">
        <v>124.809852600097</v>
      </c>
      <c r="H276">
        <v>142.81637573242099</v>
      </c>
      <c r="I276">
        <v>110.86358642578099</v>
      </c>
      <c r="J276">
        <v>378.17001342773398</v>
      </c>
      <c r="K276">
        <v>318.80886840820301</v>
      </c>
    </row>
    <row r="277" spans="1:11">
      <c r="A277" s="1">
        <v>45694</v>
      </c>
      <c r="B277">
        <v>184.80000305175699</v>
      </c>
      <c r="C277">
        <v>62.451824188232401</v>
      </c>
      <c r="D277">
        <v>414.227447509765</v>
      </c>
      <c r="E277">
        <v>1015.67999267578</v>
      </c>
      <c r="F277">
        <v>70.907501220703097</v>
      </c>
      <c r="G277">
        <v>128.65921020507801</v>
      </c>
      <c r="H277">
        <v>142.512435913085</v>
      </c>
      <c r="I277">
        <v>110.32038116455</v>
      </c>
      <c r="J277">
        <v>374.32000732421801</v>
      </c>
      <c r="K277">
        <v>325.032958984375</v>
      </c>
    </row>
    <row r="278" spans="1:11">
      <c r="A278" s="1">
        <v>45695</v>
      </c>
      <c r="B278">
        <v>181.49000549316401</v>
      </c>
      <c r="C278">
        <v>62.9249458312988</v>
      </c>
      <c r="D278">
        <v>408.18069458007801</v>
      </c>
      <c r="E278">
        <v>1013.92999267578</v>
      </c>
      <c r="F278">
        <v>67.883010864257798</v>
      </c>
      <c r="G278">
        <v>129.81903076171801</v>
      </c>
      <c r="H278">
        <v>141.75747680664</v>
      </c>
      <c r="I278">
        <v>110.81420135498</v>
      </c>
      <c r="J278">
        <v>361.61999511718699</v>
      </c>
      <c r="K278">
        <v>323.91940307617102</v>
      </c>
    </row>
    <row r="279" spans="1:11">
      <c r="A279" s="1">
        <v>45698</v>
      </c>
      <c r="B279">
        <v>180.55000305175699</v>
      </c>
      <c r="C279">
        <v>63.624767303466797</v>
      </c>
      <c r="D279">
        <v>410.64120483398398</v>
      </c>
      <c r="E279">
        <v>1027.59997558593</v>
      </c>
      <c r="F279">
        <v>70.116783142089801</v>
      </c>
      <c r="G279">
        <v>133.54844665527301</v>
      </c>
      <c r="H279">
        <v>141.531967163085</v>
      </c>
      <c r="I279">
        <v>110.07346343994099</v>
      </c>
      <c r="J279">
        <v>350.73001098632801</v>
      </c>
      <c r="K279">
        <v>323.31286621093699</v>
      </c>
    </row>
    <row r="280" spans="1:11">
      <c r="A280" s="1">
        <v>45699</v>
      </c>
      <c r="B280">
        <v>180.44000244140599</v>
      </c>
      <c r="C280">
        <v>66.631050109863196</v>
      </c>
      <c r="D280">
        <v>409.86419677734301</v>
      </c>
      <c r="E280">
        <v>1008.08001708984</v>
      </c>
      <c r="F280">
        <v>70.512138366699205</v>
      </c>
      <c r="G280">
        <v>132.77857971191401</v>
      </c>
      <c r="H280">
        <v>142.79676818847599</v>
      </c>
      <c r="I280">
        <v>109.658653259277</v>
      </c>
      <c r="J280">
        <v>328.5</v>
      </c>
      <c r="K280">
        <v>317.39706420898398</v>
      </c>
    </row>
    <row r="281" spans="1:11">
      <c r="A281" s="1">
        <v>45700</v>
      </c>
      <c r="B281">
        <v>186.25</v>
      </c>
      <c r="C281">
        <v>67.725135803222599</v>
      </c>
      <c r="D281">
        <v>407.473388671875</v>
      </c>
      <c r="E281">
        <v>1027.31005859375</v>
      </c>
      <c r="F281">
        <v>71.421470642089801</v>
      </c>
      <c r="G281">
        <v>131.11883544921801</v>
      </c>
      <c r="H281">
        <v>141.17900085449199</v>
      </c>
      <c r="I281">
        <v>111.643829345703</v>
      </c>
      <c r="J281">
        <v>336.510009765625</v>
      </c>
      <c r="K281">
        <v>317.12860107421801</v>
      </c>
    </row>
    <row r="282" spans="1:11">
      <c r="A282" s="1">
        <v>45701</v>
      </c>
      <c r="B282">
        <v>185.44000244140599</v>
      </c>
      <c r="C282">
        <v>68.503822326660099</v>
      </c>
      <c r="D282">
        <v>408.96765136718699</v>
      </c>
      <c r="E282">
        <v>1043.68994140625</v>
      </c>
      <c r="F282">
        <v>72.360443115234304</v>
      </c>
      <c r="G282">
        <v>135.26815795898401</v>
      </c>
      <c r="H282">
        <v>141.75747680664</v>
      </c>
      <c r="I282">
        <v>111.60432434082</v>
      </c>
      <c r="J282">
        <v>355.94000244140602</v>
      </c>
      <c r="K282">
        <v>320.42953491210898</v>
      </c>
    </row>
    <row r="283" spans="1:11">
      <c r="A283" s="1">
        <v>45702</v>
      </c>
      <c r="B283">
        <v>184.419998168945</v>
      </c>
      <c r="C283">
        <v>67.882843017578097</v>
      </c>
      <c r="D283">
        <v>406.86572265625</v>
      </c>
      <c r="E283">
        <v>1058.59997558593</v>
      </c>
      <c r="F283">
        <v>72.192413330078097</v>
      </c>
      <c r="G283">
        <v>138.82759094238199</v>
      </c>
      <c r="H283">
        <v>140.59069824218699</v>
      </c>
      <c r="I283">
        <v>111.763206481933</v>
      </c>
      <c r="J283">
        <v>355.83999633789</v>
      </c>
      <c r="K283">
        <v>318.560302734375</v>
      </c>
    </row>
    <row r="284" spans="1:11">
      <c r="A284" s="1">
        <v>45706</v>
      </c>
      <c r="B284">
        <v>184.97000122070301</v>
      </c>
      <c r="C284">
        <v>68.060272216796804</v>
      </c>
      <c r="D284">
        <v>408.07110595703102</v>
      </c>
      <c r="E284">
        <v>1035.84997558593</v>
      </c>
      <c r="F284">
        <v>76.689613342285099</v>
      </c>
      <c r="G284">
        <v>139.37750244140599</v>
      </c>
      <c r="H284">
        <v>141.28683471679599</v>
      </c>
      <c r="I284">
        <v>112.239852905273</v>
      </c>
      <c r="J284">
        <v>354.10998535156199</v>
      </c>
      <c r="K284">
        <v>320.41958618164</v>
      </c>
    </row>
    <row r="285" spans="1:11">
      <c r="A285" s="1">
        <v>45707</v>
      </c>
      <c r="B285">
        <v>186.14999389648401</v>
      </c>
      <c r="C285">
        <v>69.065643310546804</v>
      </c>
      <c r="D285">
        <v>413.18142700195301</v>
      </c>
      <c r="E285">
        <v>1043.32995605468</v>
      </c>
      <c r="F285">
        <v>75.889015197753906</v>
      </c>
      <c r="G285">
        <v>139.20751953125</v>
      </c>
      <c r="H285">
        <v>142.96343994140599</v>
      </c>
      <c r="I285">
        <v>111.70362091064401</v>
      </c>
      <c r="J285">
        <v>360.55999755859301</v>
      </c>
      <c r="K285">
        <v>323.76028442382801</v>
      </c>
    </row>
    <row r="286" spans="1:11">
      <c r="A286" s="1">
        <v>45708</v>
      </c>
      <c r="B286">
        <v>180.88000488281199</v>
      </c>
      <c r="C286">
        <v>69.036079406738196</v>
      </c>
      <c r="D286">
        <v>415.36746215820301</v>
      </c>
      <c r="E286">
        <v>1024.5400390625</v>
      </c>
      <c r="F286">
        <v>76.333801269531193</v>
      </c>
      <c r="G286">
        <v>140.08738708496</v>
      </c>
      <c r="H286">
        <v>146.18923950195301</v>
      </c>
      <c r="I286">
        <v>112.54768371582</v>
      </c>
      <c r="J286">
        <v>354.39999389648398</v>
      </c>
      <c r="K286">
        <v>322.86544799804602</v>
      </c>
    </row>
    <row r="287" spans="1:11">
      <c r="A287" s="1">
        <v>45709</v>
      </c>
      <c r="B287">
        <v>177.14999389648401</v>
      </c>
      <c r="C287">
        <v>70.327293395996094</v>
      </c>
      <c r="D287">
        <v>407.46194458007801</v>
      </c>
      <c r="E287">
        <v>1003.15002441406</v>
      </c>
      <c r="F287">
        <v>75.612266540527301</v>
      </c>
      <c r="G287">
        <v>134.40829467773401</v>
      </c>
      <c r="H287">
        <v>150.50331115722599</v>
      </c>
      <c r="I287">
        <v>110.968795776367</v>
      </c>
      <c r="J287">
        <v>337.79998779296801</v>
      </c>
      <c r="K287">
        <v>324.07849121093699</v>
      </c>
    </row>
    <row r="288" spans="1:11">
      <c r="A288" s="1">
        <v>45712</v>
      </c>
      <c r="B288">
        <v>179.91000366210901</v>
      </c>
      <c r="C288">
        <v>69.578186035156193</v>
      </c>
      <c r="D288">
        <v>403.259674072265</v>
      </c>
      <c r="E288">
        <v>988.469970703125</v>
      </c>
      <c r="F288">
        <v>79.348396301269503</v>
      </c>
      <c r="G288">
        <v>130.25897216796801</v>
      </c>
      <c r="H288">
        <v>150.84649658203099</v>
      </c>
      <c r="I288">
        <v>112.39873504638599</v>
      </c>
      <c r="J288">
        <v>330.52999877929602</v>
      </c>
      <c r="K288">
        <v>326.31555175781199</v>
      </c>
    </row>
    <row r="289" spans="1:11">
      <c r="A289" s="1">
        <v>45713</v>
      </c>
      <c r="B289">
        <v>178.27000427246</v>
      </c>
      <c r="C289">
        <v>70.465293884277301</v>
      </c>
      <c r="D289">
        <v>397.17083740234301</v>
      </c>
      <c r="E289">
        <v>977.239990234375</v>
      </c>
      <c r="F289">
        <v>80.771690368652301</v>
      </c>
      <c r="G289">
        <v>126.609558105468</v>
      </c>
      <c r="H289">
        <v>153.36631774902301</v>
      </c>
      <c r="I289">
        <v>113.788940429687</v>
      </c>
      <c r="J289">
        <v>302.79998779296801</v>
      </c>
      <c r="K289">
        <v>330.90902709960898</v>
      </c>
    </row>
    <row r="290" spans="1:11">
      <c r="A290" s="1">
        <v>45714</v>
      </c>
      <c r="B290">
        <v>173.03999328613199</v>
      </c>
      <c r="C290">
        <v>69.785186767578097</v>
      </c>
      <c r="D290">
        <v>398.99749755859301</v>
      </c>
      <c r="E290">
        <v>990.05999755859295</v>
      </c>
      <c r="F290">
        <v>80.228065490722599</v>
      </c>
      <c r="G290">
        <v>131.25881958007801</v>
      </c>
      <c r="H290">
        <v>148.552154541015</v>
      </c>
      <c r="I290">
        <v>112.210060119628</v>
      </c>
      <c r="J290">
        <v>290.79998779296801</v>
      </c>
      <c r="K290">
        <v>334.40878295898398</v>
      </c>
    </row>
    <row r="291" spans="1:11">
      <c r="A291" s="1">
        <v>45715</v>
      </c>
      <c r="B291">
        <v>173.83000183105401</v>
      </c>
      <c r="C291">
        <v>69.854179382324205</v>
      </c>
      <c r="D291">
        <v>391.81069946289</v>
      </c>
      <c r="E291">
        <v>963.07000732421795</v>
      </c>
      <c r="F291">
        <v>79.091407775878906</v>
      </c>
      <c r="G291">
        <v>120.13060760498</v>
      </c>
      <c r="H291">
        <v>149.05221557617099</v>
      </c>
      <c r="I291">
        <v>113.689643859863</v>
      </c>
      <c r="J291">
        <v>281.95001220703102</v>
      </c>
      <c r="K291">
        <v>333.36483764648398</v>
      </c>
    </row>
    <row r="292" spans="1:11">
      <c r="A292" s="1">
        <v>45716</v>
      </c>
      <c r="B292">
        <v>174.63000488281199</v>
      </c>
      <c r="C292">
        <v>70.189308166503906</v>
      </c>
      <c r="D292">
        <v>396.26251220703102</v>
      </c>
      <c r="E292">
        <v>980.55999755859295</v>
      </c>
      <c r="F292">
        <v>78.508262634277301</v>
      </c>
      <c r="G292">
        <v>124.89983367919901</v>
      </c>
      <c r="H292">
        <v>150.47392272949199</v>
      </c>
      <c r="I292">
        <v>115.00041198730401</v>
      </c>
      <c r="J292">
        <v>292.98001098632801</v>
      </c>
      <c r="K292">
        <v>337.69976806640602</v>
      </c>
    </row>
    <row r="293" spans="1:11">
      <c r="A293" s="1">
        <v>45719</v>
      </c>
      <c r="B293">
        <v>170.05999755859301</v>
      </c>
      <c r="C293">
        <v>71.283393859863196</v>
      </c>
      <c r="D293">
        <v>387.778076171875</v>
      </c>
      <c r="E293">
        <v>973.70001220703102</v>
      </c>
      <c r="F293">
        <v>77.892356872558594</v>
      </c>
      <c r="G293">
        <v>114.04158782958901</v>
      </c>
      <c r="H293">
        <v>152.94471740722599</v>
      </c>
      <c r="I293">
        <v>114.603218078613</v>
      </c>
      <c r="J293">
        <v>284.64999389648398</v>
      </c>
      <c r="K293">
        <v>338.40570068359301</v>
      </c>
    </row>
    <row r="294" spans="1:11">
      <c r="A294" s="1">
        <v>45720</v>
      </c>
      <c r="B294">
        <v>158.89999389648401</v>
      </c>
      <c r="C294">
        <v>69.183929443359304</v>
      </c>
      <c r="D294">
        <v>387.897857666015</v>
      </c>
      <c r="E294">
        <v>972.58001708984295</v>
      </c>
      <c r="F294">
        <v>76.809555053710895</v>
      </c>
      <c r="G294">
        <v>115.97127532958901</v>
      </c>
      <c r="H294">
        <v>151.17985534667901</v>
      </c>
      <c r="I294">
        <v>111.27662658691401</v>
      </c>
      <c r="J294">
        <v>272.04000854492102</v>
      </c>
      <c r="K294">
        <v>332.02258300781199</v>
      </c>
    </row>
    <row r="295" spans="1:11">
      <c r="A295" s="1">
        <v>45721</v>
      </c>
      <c r="B295">
        <v>163.16000366210901</v>
      </c>
      <c r="C295">
        <v>69.075508117675696</v>
      </c>
      <c r="D295">
        <v>400.28512573242102</v>
      </c>
      <c r="E295">
        <v>990.91998291015602</v>
      </c>
      <c r="F295">
        <v>77.296318054199205</v>
      </c>
      <c r="G295">
        <v>117.28106689453099</v>
      </c>
      <c r="H295">
        <v>150.87590026855401</v>
      </c>
      <c r="I295">
        <v>110.909217834472</v>
      </c>
      <c r="J295">
        <v>279.100006103515</v>
      </c>
      <c r="K295">
        <v>332.579345703125</v>
      </c>
    </row>
    <row r="296" spans="1:11">
      <c r="A296" s="1">
        <v>45722</v>
      </c>
      <c r="B296">
        <v>158.42999267578099</v>
      </c>
      <c r="C296">
        <v>69.450057983398395</v>
      </c>
      <c r="D296">
        <v>396.16271972656199</v>
      </c>
      <c r="E296">
        <v>906.35998535156205</v>
      </c>
      <c r="F296">
        <v>77.196975708007798</v>
      </c>
      <c r="G296">
        <v>110.552154541015</v>
      </c>
      <c r="H296">
        <v>151.59165954589801</v>
      </c>
      <c r="I296">
        <v>104.732704162597</v>
      </c>
      <c r="J296">
        <v>263.45001220703102</v>
      </c>
      <c r="K296">
        <v>328.53271484375</v>
      </c>
    </row>
    <row r="297" spans="1:11">
      <c r="A297" s="1">
        <v>45723</v>
      </c>
      <c r="B297">
        <v>154.17999267578099</v>
      </c>
      <c r="C297">
        <v>70.406150817871094</v>
      </c>
      <c r="D297">
        <v>392.589263916015</v>
      </c>
      <c r="E297">
        <v>891.10998535156205</v>
      </c>
      <c r="F297">
        <v>78.0711669921875</v>
      </c>
      <c r="G297">
        <v>112.671813964843</v>
      </c>
      <c r="H297">
        <v>152.76379394531199</v>
      </c>
      <c r="I297">
        <v>105.735641479492</v>
      </c>
      <c r="J297">
        <v>262.67001342773398</v>
      </c>
      <c r="K297">
        <v>328.99011230468699</v>
      </c>
    </row>
    <row r="298" spans="1:11">
      <c r="A298" s="1">
        <v>45726</v>
      </c>
      <c r="B298">
        <v>148.14999389648401</v>
      </c>
      <c r="C298">
        <v>70.425865173339801</v>
      </c>
      <c r="D298">
        <v>379.46337890625</v>
      </c>
      <c r="E298">
        <v>866.67999267578102</v>
      </c>
      <c r="F298">
        <v>75.8956298828125</v>
      </c>
      <c r="G298">
        <v>106.96273040771401</v>
      </c>
      <c r="H298">
        <v>154.55413818359301</v>
      </c>
      <c r="I298">
        <v>100.423034667968</v>
      </c>
      <c r="J298">
        <v>222.14999389648401</v>
      </c>
      <c r="K298">
        <v>330.09371948242102</v>
      </c>
    </row>
    <row r="299" spans="1:11">
      <c r="A299" s="1">
        <v>45727</v>
      </c>
      <c r="B299">
        <v>154.05999755859301</v>
      </c>
      <c r="C299">
        <v>70.021743774414006</v>
      </c>
      <c r="D299">
        <v>379.752838134765</v>
      </c>
      <c r="E299">
        <v>895.09997558593705</v>
      </c>
      <c r="F299">
        <v>73.680343627929602</v>
      </c>
      <c r="G299">
        <v>108.74244689941401</v>
      </c>
      <c r="H299">
        <v>150.67669677734301</v>
      </c>
      <c r="I299">
        <v>98.883872985839801</v>
      </c>
      <c r="J299">
        <v>230.58000183105401</v>
      </c>
      <c r="K299">
        <v>324.64517211914</v>
      </c>
    </row>
    <row r="300" spans="1:11">
      <c r="A300" s="1">
        <v>45728</v>
      </c>
      <c r="B300">
        <v>158.80000305175699</v>
      </c>
      <c r="C300">
        <v>68.937515258789006</v>
      </c>
      <c r="D300">
        <v>382.56765747070301</v>
      </c>
      <c r="E300">
        <v>919.67999267578102</v>
      </c>
      <c r="F300">
        <v>73.094245910644503</v>
      </c>
      <c r="G300">
        <v>115.731964111328</v>
      </c>
      <c r="H300">
        <v>146.56184387207</v>
      </c>
      <c r="I300">
        <v>98.000099182128906</v>
      </c>
      <c r="J300">
        <v>248.08999633789</v>
      </c>
      <c r="K300">
        <v>319.25631713867102</v>
      </c>
    </row>
    <row r="301" spans="1:11">
      <c r="A301" s="1">
        <v>45729</v>
      </c>
      <c r="B301">
        <v>159.32000732421801</v>
      </c>
      <c r="C301">
        <v>68.622093200683594</v>
      </c>
      <c r="D301">
        <v>378.07589721679602</v>
      </c>
      <c r="E301">
        <v>890.16998291015602</v>
      </c>
      <c r="F301">
        <v>72.160446166992102</v>
      </c>
      <c r="G301">
        <v>115.571975708007</v>
      </c>
      <c r="H301">
        <v>146.72999572753901</v>
      </c>
      <c r="I301">
        <v>95.368621826171804</v>
      </c>
      <c r="J301">
        <v>240.67999267578099</v>
      </c>
      <c r="K301">
        <v>317.26779174804602</v>
      </c>
    </row>
    <row r="302" spans="1:11">
      <c r="A302" s="1">
        <v>45730</v>
      </c>
      <c r="B302">
        <v>161.80999755859301</v>
      </c>
      <c r="C302">
        <v>68.671745300292898</v>
      </c>
      <c r="D302">
        <v>387.84796142578102</v>
      </c>
      <c r="E302">
        <v>918</v>
      </c>
      <c r="F302">
        <v>71.186920166015597</v>
      </c>
      <c r="G302">
        <v>121.66155242919901</v>
      </c>
      <c r="H302">
        <v>146.977279663085</v>
      </c>
      <c r="I302">
        <v>97.424148559570298</v>
      </c>
      <c r="J302">
        <v>249.97999572753901</v>
      </c>
      <c r="K302">
        <v>322.74612426757801</v>
      </c>
    </row>
    <row r="303" spans="1:11">
      <c r="A303" s="1">
        <v>45733</v>
      </c>
      <c r="B303">
        <v>161.850006103515</v>
      </c>
      <c r="C303">
        <v>69.624969482421804</v>
      </c>
      <c r="D303">
        <v>387.98773193359301</v>
      </c>
      <c r="E303">
        <v>950.02001953125</v>
      </c>
      <c r="F303">
        <v>73.213447570800696</v>
      </c>
      <c r="G303">
        <v>119.52169799804599</v>
      </c>
      <c r="H303">
        <v>149.69743347167901</v>
      </c>
      <c r="I303">
        <v>98.387374877929602</v>
      </c>
      <c r="J303">
        <v>238.009994506835</v>
      </c>
      <c r="K303">
        <v>326.44476318359301</v>
      </c>
    </row>
    <row r="304" spans="1:11">
      <c r="A304" s="1">
        <v>45734</v>
      </c>
      <c r="B304">
        <v>161.57000732421801</v>
      </c>
      <c r="C304">
        <v>68.890190124511705</v>
      </c>
      <c r="D304">
        <v>382.81719970703102</v>
      </c>
      <c r="E304">
        <v>929.97998046875</v>
      </c>
      <c r="F304">
        <v>72.826026916503906</v>
      </c>
      <c r="G304">
        <v>115.421981811523</v>
      </c>
      <c r="H304">
        <v>147.37294006347599</v>
      </c>
      <c r="I304">
        <v>97.592964172363196</v>
      </c>
      <c r="J304">
        <v>225.30999755859301</v>
      </c>
      <c r="K304">
        <v>333.04666137695301</v>
      </c>
    </row>
    <row r="305" spans="1:11">
      <c r="A305" s="1">
        <v>45735</v>
      </c>
      <c r="B305">
        <v>172.61999511718699</v>
      </c>
      <c r="C305">
        <v>68.7908935546875</v>
      </c>
      <c r="D305">
        <v>387.10934448242102</v>
      </c>
      <c r="E305">
        <v>959.489990234375</v>
      </c>
      <c r="F305">
        <v>72.508132934570298</v>
      </c>
      <c r="G305">
        <v>117.511833190917</v>
      </c>
      <c r="H305">
        <v>146.50248718261699</v>
      </c>
      <c r="I305">
        <v>98.496604919433594</v>
      </c>
      <c r="J305">
        <v>235.86000061035099</v>
      </c>
      <c r="K305">
        <v>332.58929443359301</v>
      </c>
    </row>
    <row r="306" spans="1:11">
      <c r="A306" s="1">
        <v>45736</v>
      </c>
      <c r="B306">
        <v>172.83000183105401</v>
      </c>
      <c r="C306">
        <v>69.217857360839801</v>
      </c>
      <c r="D306">
        <v>386.131103515625</v>
      </c>
      <c r="E306">
        <v>950.84002685546795</v>
      </c>
      <c r="F306">
        <v>71.385597229003906</v>
      </c>
      <c r="G306">
        <v>118.521766662597</v>
      </c>
      <c r="H306">
        <v>145.55290222167901</v>
      </c>
      <c r="I306">
        <v>98.585968017578097</v>
      </c>
      <c r="J306">
        <v>236.259994506835</v>
      </c>
      <c r="K306">
        <v>332.58929443359301</v>
      </c>
    </row>
    <row r="307" spans="1:11">
      <c r="A307" s="1">
        <v>45737</v>
      </c>
      <c r="B307">
        <v>178.11000061035099</v>
      </c>
      <c r="C307">
        <v>68.185203552246094</v>
      </c>
      <c r="D307">
        <v>390.54302978515602</v>
      </c>
      <c r="E307">
        <v>960.28997802734295</v>
      </c>
      <c r="F307">
        <v>67.491477966308594</v>
      </c>
      <c r="G307">
        <v>117.69182586669901</v>
      </c>
      <c r="H307">
        <v>143.87135314941401</v>
      </c>
      <c r="I307">
        <v>96.391418457031193</v>
      </c>
      <c r="J307">
        <v>248.71000671386699</v>
      </c>
      <c r="K307">
        <v>330.79962158203102</v>
      </c>
    </row>
    <row r="308" spans="1:11">
      <c r="A308" s="1">
        <v>45740</v>
      </c>
      <c r="B308">
        <v>180.89999389648401</v>
      </c>
      <c r="C308">
        <v>68.463226318359304</v>
      </c>
      <c r="D308">
        <v>392.35968017578102</v>
      </c>
      <c r="E308">
        <v>971.989990234375</v>
      </c>
      <c r="F308">
        <v>66.945106506347599</v>
      </c>
      <c r="G308">
        <v>121.401573181152</v>
      </c>
      <c r="H308">
        <v>144.86050415039</v>
      </c>
      <c r="I308">
        <v>95.050857543945298</v>
      </c>
      <c r="J308">
        <v>278.39001464843699</v>
      </c>
      <c r="K308">
        <v>335.28375244140602</v>
      </c>
    </row>
    <row r="309" spans="1:11">
      <c r="A309" s="1">
        <v>45741</v>
      </c>
      <c r="B309">
        <v>182.58999633789</v>
      </c>
      <c r="C309">
        <v>68.324211120605398</v>
      </c>
      <c r="D309">
        <v>394.43588256835898</v>
      </c>
      <c r="E309">
        <v>997.280029296875</v>
      </c>
      <c r="F309">
        <v>66.100723266601506</v>
      </c>
      <c r="G309">
        <v>120.68162536621</v>
      </c>
      <c r="H309">
        <v>143.96037292480401</v>
      </c>
      <c r="I309">
        <v>95.209739685058594</v>
      </c>
      <c r="J309">
        <v>288.14001464843699</v>
      </c>
      <c r="K309">
        <v>335.98968505859301</v>
      </c>
    </row>
    <row r="310" spans="1:11">
      <c r="A310" s="1">
        <v>45742</v>
      </c>
      <c r="B310">
        <v>178.55000305175699</v>
      </c>
      <c r="C310">
        <v>69.525665283203097</v>
      </c>
      <c r="D310">
        <v>389.25540161132801</v>
      </c>
      <c r="E310">
        <v>970.65002441406205</v>
      </c>
      <c r="F310">
        <v>65.305999755859304</v>
      </c>
      <c r="G310">
        <v>113.75210571289</v>
      </c>
      <c r="H310">
        <v>147.02673339843699</v>
      </c>
      <c r="I310">
        <v>97.285133361816406</v>
      </c>
      <c r="J310">
        <v>272.05999755859301</v>
      </c>
      <c r="K310">
        <v>336.64587402343699</v>
      </c>
    </row>
    <row r="311" spans="1:11">
      <c r="A311" s="1">
        <v>45743</v>
      </c>
      <c r="B311">
        <v>179.11000061035099</v>
      </c>
      <c r="C311">
        <v>70.240585327148395</v>
      </c>
      <c r="D311">
        <v>389.8642578125</v>
      </c>
      <c r="E311">
        <v>976.719970703125</v>
      </c>
      <c r="F311">
        <v>65.365608215332003</v>
      </c>
      <c r="G311">
        <v>111.42226409912099</v>
      </c>
      <c r="H311">
        <v>148.04556274414</v>
      </c>
      <c r="I311">
        <v>98.158973693847599</v>
      </c>
      <c r="J311">
        <v>273.13000488281199</v>
      </c>
      <c r="K311">
        <v>338.922760009765</v>
      </c>
    </row>
    <row r="312" spans="1:11">
      <c r="A312" s="1">
        <v>45744</v>
      </c>
      <c r="B312">
        <v>173.30999755859301</v>
      </c>
      <c r="C312">
        <v>69.873207092285099</v>
      </c>
      <c r="D312">
        <v>378.10583496093699</v>
      </c>
      <c r="E312">
        <v>933.84997558593705</v>
      </c>
      <c r="F312">
        <v>62.872177124023402</v>
      </c>
      <c r="G312">
        <v>109.662384033203</v>
      </c>
      <c r="H312">
        <v>147.64990234375</v>
      </c>
      <c r="I312">
        <v>97.046813964843693</v>
      </c>
      <c r="J312">
        <v>263.54998779296801</v>
      </c>
      <c r="K312">
        <v>335.22409057617102</v>
      </c>
    </row>
    <row r="313" spans="1:11">
      <c r="A313" s="1">
        <v>45747</v>
      </c>
      <c r="B313">
        <v>170.55000305175699</v>
      </c>
      <c r="C313">
        <v>71.1143798828125</v>
      </c>
      <c r="D313">
        <v>374.70211791992102</v>
      </c>
      <c r="E313">
        <v>932.530029296875</v>
      </c>
      <c r="F313">
        <v>63.060920715332003</v>
      </c>
      <c r="G313">
        <v>108.37247467041</v>
      </c>
      <c r="H313">
        <v>148.31263732910099</v>
      </c>
      <c r="I313">
        <v>97.404289245605398</v>
      </c>
      <c r="J313">
        <v>259.16000366210898</v>
      </c>
      <c r="K313">
        <v>336.928955078125</v>
      </c>
    </row>
    <row r="314" spans="1:11">
      <c r="A314" s="1">
        <v>45748</v>
      </c>
      <c r="B314">
        <v>168.169998168945</v>
      </c>
      <c r="C314">
        <v>71.362617492675696</v>
      </c>
      <c r="D314">
        <v>381.489654541015</v>
      </c>
      <c r="E314">
        <v>928.38000488281205</v>
      </c>
      <c r="F314">
        <v>64.332473754882798</v>
      </c>
      <c r="G314">
        <v>110.14234924316401</v>
      </c>
      <c r="H314">
        <v>148.04556274414</v>
      </c>
      <c r="I314">
        <v>97.543312072753906</v>
      </c>
      <c r="J314">
        <v>268.45999145507801</v>
      </c>
      <c r="K314">
        <v>335.98181152343699</v>
      </c>
    </row>
    <row r="315" spans="1:11">
      <c r="A315" s="1">
        <v>45749</v>
      </c>
      <c r="B315">
        <v>168.55999755859301</v>
      </c>
      <c r="C315">
        <v>70.826423645019503</v>
      </c>
      <c r="D315">
        <v>381.43975830078102</v>
      </c>
      <c r="E315">
        <v>935.52001953125</v>
      </c>
      <c r="F315">
        <v>64.531150817871094</v>
      </c>
      <c r="G315">
        <v>110.41233062744099</v>
      </c>
      <c r="H315">
        <v>147.50152587890599</v>
      </c>
      <c r="I315">
        <v>98.715065002441406</v>
      </c>
      <c r="J315">
        <v>282.760009765625</v>
      </c>
      <c r="K315">
        <v>336.41049194335898</v>
      </c>
    </row>
    <row r="316" spans="1:11">
      <c r="A316" s="1">
        <v>45750</v>
      </c>
      <c r="B316">
        <v>150.91000366210901</v>
      </c>
      <c r="C316">
        <v>72.663360595703097</v>
      </c>
      <c r="D316">
        <v>372.42626953125</v>
      </c>
      <c r="E316">
        <v>917.04998779296795</v>
      </c>
      <c r="F316">
        <v>55.213077545166001</v>
      </c>
      <c r="G316">
        <v>101.792930603027</v>
      </c>
      <c r="H316">
        <v>149.72711181640599</v>
      </c>
      <c r="I316">
        <v>87.643013000488196</v>
      </c>
      <c r="J316">
        <v>267.27999877929602</v>
      </c>
      <c r="K316">
        <v>331.405670166015</v>
      </c>
    </row>
    <row r="317" spans="1:11">
      <c r="A317" s="1">
        <v>45751</v>
      </c>
      <c r="B317">
        <v>136.58999633789</v>
      </c>
      <c r="C317">
        <v>69.436309814453097</v>
      </c>
      <c r="D317">
        <v>359.18060302734301</v>
      </c>
      <c r="E317">
        <v>855.85998535156205</v>
      </c>
      <c r="F317">
        <v>56.872051239013601</v>
      </c>
      <c r="G317">
        <v>94.303451538085895</v>
      </c>
      <c r="H317">
        <v>145.01876831054599</v>
      </c>
      <c r="I317">
        <v>81.526069641113196</v>
      </c>
      <c r="J317">
        <v>239.42999267578099</v>
      </c>
      <c r="K317">
        <v>307.86700439453102</v>
      </c>
    </row>
    <row r="318" spans="1:11">
      <c r="A318" s="1">
        <v>45754</v>
      </c>
      <c r="B318">
        <v>138.86000061035099</v>
      </c>
      <c r="C318">
        <v>67.887321472167898</v>
      </c>
      <c r="D318">
        <v>357.20422363281199</v>
      </c>
      <c r="E318">
        <v>867.83001708984295</v>
      </c>
      <c r="F318">
        <v>55.242877960205</v>
      </c>
      <c r="G318">
        <v>97.633216857910099</v>
      </c>
      <c r="H318">
        <v>141.63589477539</v>
      </c>
      <c r="I318">
        <v>79.440750122070298</v>
      </c>
      <c r="J318">
        <v>233.28999328613199</v>
      </c>
      <c r="K318">
        <v>300.10055541992102</v>
      </c>
    </row>
    <row r="319" spans="1:11">
      <c r="A319" s="1">
        <v>45755</v>
      </c>
      <c r="B319">
        <v>139.38999938964801</v>
      </c>
      <c r="C319">
        <v>67.936965942382798</v>
      </c>
      <c r="D319">
        <v>353.91027832031199</v>
      </c>
      <c r="E319">
        <v>870.40002441406205</v>
      </c>
      <c r="F319">
        <v>52.918323516845703</v>
      </c>
      <c r="G319">
        <v>96.293319702148395</v>
      </c>
      <c r="H319">
        <v>138.77726745605401</v>
      </c>
      <c r="I319">
        <v>79.132919311523395</v>
      </c>
      <c r="J319">
        <v>221.86000061035099</v>
      </c>
      <c r="K319">
        <v>301.147369384765</v>
      </c>
    </row>
    <row r="320" spans="1:11">
      <c r="A320" s="1">
        <v>45756</v>
      </c>
      <c r="B320">
        <v>160.82000732421801</v>
      </c>
      <c r="C320">
        <v>69.456161499023395</v>
      </c>
      <c r="D320">
        <v>389.7744140625</v>
      </c>
      <c r="E320">
        <v>945.469970703125</v>
      </c>
      <c r="F320">
        <v>58.928382873535099</v>
      </c>
      <c r="G320">
        <v>114.322059631347</v>
      </c>
      <c r="H320">
        <v>144.009841918945</v>
      </c>
      <c r="I320">
        <v>88.060073852539006</v>
      </c>
      <c r="J320">
        <v>272.20001220703102</v>
      </c>
      <c r="K320">
        <v>313.85885620117102</v>
      </c>
    </row>
    <row r="321" spans="1:11">
      <c r="A321" s="1">
        <v>45757</v>
      </c>
      <c r="B321">
        <v>155.52000427246</v>
      </c>
      <c r="C321">
        <v>70.260452270507798</v>
      </c>
      <c r="D321">
        <v>380.65118408203102</v>
      </c>
      <c r="E321">
        <v>921.16998291015602</v>
      </c>
      <c r="F321">
        <v>54.040866851806598</v>
      </c>
      <c r="G321">
        <v>107.562530517578</v>
      </c>
      <c r="H321">
        <v>142.57557678222599</v>
      </c>
      <c r="I321">
        <v>84.008590698242102</v>
      </c>
      <c r="J321">
        <v>252.39999389648401</v>
      </c>
      <c r="K321">
        <v>315.68331909179602</v>
      </c>
    </row>
    <row r="322" spans="1:11">
      <c r="A322" s="1">
        <v>45758</v>
      </c>
      <c r="B322">
        <v>156.83999633789</v>
      </c>
      <c r="C322">
        <v>70.925720214843693</v>
      </c>
      <c r="D322">
        <v>387.738189697265</v>
      </c>
      <c r="E322">
        <v>918.28997802734295</v>
      </c>
      <c r="F322">
        <v>54.030929565429602</v>
      </c>
      <c r="G322">
        <v>110.92229461669901</v>
      </c>
      <c r="H322">
        <v>142.86242675781199</v>
      </c>
      <c r="I322">
        <v>84.832794189453097</v>
      </c>
      <c r="J322">
        <v>252.30999755859301</v>
      </c>
      <c r="K322">
        <v>320.76788330078102</v>
      </c>
    </row>
    <row r="323" spans="1:11">
      <c r="A323" s="1">
        <v>45761</v>
      </c>
      <c r="B323">
        <v>159.27999877929599</v>
      </c>
      <c r="C323">
        <v>71.938514709472599</v>
      </c>
      <c r="D323">
        <v>387.09933471679602</v>
      </c>
      <c r="E323">
        <v>931.280029296875</v>
      </c>
      <c r="F323">
        <v>55.044197082519503</v>
      </c>
      <c r="G323">
        <v>110.702308654785</v>
      </c>
      <c r="H323">
        <v>145.15725708007801</v>
      </c>
      <c r="I323">
        <v>84.892372131347599</v>
      </c>
      <c r="J323">
        <v>252.350006103515</v>
      </c>
      <c r="K323">
        <v>327.02893066406199</v>
      </c>
    </row>
    <row r="324" spans="1:11">
      <c r="A324" s="1">
        <v>45762</v>
      </c>
      <c r="B324">
        <v>155.52000427246</v>
      </c>
      <c r="C324">
        <v>71.352684020996094</v>
      </c>
      <c r="D324">
        <v>385.02316284179602</v>
      </c>
      <c r="E324">
        <v>976.280029296875</v>
      </c>
      <c r="F324">
        <v>54.468029022216797</v>
      </c>
      <c r="G324">
        <v>112.192207336425</v>
      </c>
      <c r="H324">
        <v>141.28968811035099</v>
      </c>
      <c r="I324">
        <v>83.124816894531193</v>
      </c>
      <c r="J324">
        <v>254.11000061035099</v>
      </c>
      <c r="K324">
        <v>326.17153930664</v>
      </c>
    </row>
    <row r="325" spans="1:11">
      <c r="A325" s="1">
        <v>45763</v>
      </c>
      <c r="B325">
        <v>156.47000122070301</v>
      </c>
      <c r="C325">
        <v>71.1739501953125</v>
      </c>
      <c r="D325">
        <v>370.92901611328102</v>
      </c>
      <c r="E325">
        <v>961.63000488281205</v>
      </c>
      <c r="F325">
        <v>53.196475982666001</v>
      </c>
      <c r="G325">
        <v>104.48274230957</v>
      </c>
      <c r="H325">
        <v>138.56953430175699</v>
      </c>
      <c r="I325">
        <v>80.195442199707003</v>
      </c>
      <c r="J325">
        <v>241.55000305175699</v>
      </c>
      <c r="K325">
        <v>323.74887084960898</v>
      </c>
    </row>
    <row r="326" spans="1:11">
      <c r="A326" s="1">
        <v>45764</v>
      </c>
      <c r="B326">
        <v>161.89999389648401</v>
      </c>
      <c r="C326">
        <v>72.484634399414006</v>
      </c>
      <c r="D326">
        <v>367.10604858398398</v>
      </c>
      <c r="E326">
        <v>973.030029296875</v>
      </c>
      <c r="F326">
        <v>55.391883850097599</v>
      </c>
      <c r="G326">
        <v>101.482948303222</v>
      </c>
      <c r="H326">
        <v>141.28968811035099</v>
      </c>
      <c r="I326">
        <v>80.930267333984304</v>
      </c>
      <c r="J326">
        <v>241.36999511718699</v>
      </c>
      <c r="K326">
        <v>320.03015136718699</v>
      </c>
    </row>
    <row r="327" spans="1:11">
      <c r="A327" s="1">
        <v>45768</v>
      </c>
      <c r="B327">
        <v>159.33999633789</v>
      </c>
      <c r="C327">
        <v>72.256256103515597</v>
      </c>
      <c r="D327">
        <v>358.4619140625</v>
      </c>
      <c r="E327">
        <v>987.90997314453102</v>
      </c>
      <c r="F327">
        <v>55.749507904052699</v>
      </c>
      <c r="G327">
        <v>96.903274536132798</v>
      </c>
      <c r="H327">
        <v>140.19172668457</v>
      </c>
      <c r="I327">
        <v>80.115997314453097</v>
      </c>
      <c r="J327">
        <v>227.5</v>
      </c>
      <c r="K327">
        <v>314.80599975585898</v>
      </c>
    </row>
    <row r="328" spans="1:11">
      <c r="A328" s="1">
        <v>45769</v>
      </c>
      <c r="B328">
        <v>162.52000427246</v>
      </c>
      <c r="C328">
        <v>73.378280639648395</v>
      </c>
      <c r="D328">
        <v>366.14782714843699</v>
      </c>
      <c r="E328">
        <v>1040.33996582031</v>
      </c>
      <c r="F328">
        <v>56.683303833007798</v>
      </c>
      <c r="G328">
        <v>98.883132934570298</v>
      </c>
      <c r="H328">
        <v>141.90296936035099</v>
      </c>
      <c r="I328">
        <v>81.178520202636705</v>
      </c>
      <c r="J328">
        <v>237.97000122070301</v>
      </c>
      <c r="K328">
        <v>323.69900512695301</v>
      </c>
    </row>
    <row r="329" spans="1:11">
      <c r="A329" s="1">
        <v>45770</v>
      </c>
      <c r="B329">
        <v>172.36999511718699</v>
      </c>
      <c r="C329">
        <v>72.782516479492102</v>
      </c>
      <c r="D329">
        <v>373.70394897460898</v>
      </c>
      <c r="E329">
        <v>1049.58996582031</v>
      </c>
      <c r="F329">
        <v>57.011123657226499</v>
      </c>
      <c r="G329">
        <v>102.702865600585</v>
      </c>
      <c r="H329">
        <v>140.71597290039</v>
      </c>
      <c r="I329">
        <v>82.231101989746094</v>
      </c>
      <c r="J329">
        <v>250.74000549316401</v>
      </c>
      <c r="K329">
        <v>324.69598388671801</v>
      </c>
    </row>
    <row r="330" spans="1:11">
      <c r="A330" s="1">
        <v>45771</v>
      </c>
      <c r="B330">
        <v>176.259994506835</v>
      </c>
      <c r="C330">
        <v>72.008018493652301</v>
      </c>
      <c r="D330">
        <v>386.59027099609301</v>
      </c>
      <c r="E330">
        <v>1096.86999511718</v>
      </c>
      <c r="F330">
        <v>58.093929290771399</v>
      </c>
      <c r="G330">
        <v>106.422607421875</v>
      </c>
      <c r="H330">
        <v>133.84141540527301</v>
      </c>
      <c r="I330">
        <v>83.273765563964801</v>
      </c>
      <c r="J330">
        <v>259.510009765625</v>
      </c>
      <c r="K330">
        <v>306.13226318359301</v>
      </c>
    </row>
    <row r="331" spans="1:11">
      <c r="A331" s="1">
        <v>45772</v>
      </c>
      <c r="B331">
        <v>177.94999694824199</v>
      </c>
      <c r="C331">
        <v>71.402336120605398</v>
      </c>
      <c r="D331">
        <v>391.13195800781199</v>
      </c>
      <c r="E331">
        <v>1101.53002929687</v>
      </c>
      <c r="F331">
        <v>57.239604949951101</v>
      </c>
      <c r="G331">
        <v>111.002296447753</v>
      </c>
      <c r="H331">
        <v>131.932373046875</v>
      </c>
      <c r="I331">
        <v>83.224113464355398</v>
      </c>
      <c r="J331">
        <v>284.95001220703102</v>
      </c>
      <c r="K331">
        <v>301.27697753906199</v>
      </c>
    </row>
    <row r="332" spans="1:11">
      <c r="A332" s="1">
        <v>45775</v>
      </c>
      <c r="B332">
        <v>182.30000305175699</v>
      </c>
      <c r="C332">
        <v>71.283180236816406</v>
      </c>
      <c r="D332">
        <v>390.44320678710898</v>
      </c>
      <c r="E332">
        <v>1110.38000488281</v>
      </c>
      <c r="F332">
        <v>56.931655883788999</v>
      </c>
      <c r="G332">
        <v>108.722450256347</v>
      </c>
      <c r="H332">
        <v>132.30822753906199</v>
      </c>
      <c r="I332">
        <v>83.313491821289006</v>
      </c>
      <c r="J332">
        <v>285.88000488281199</v>
      </c>
      <c r="K332">
        <v>302.244049072265</v>
      </c>
    </row>
    <row r="333" spans="1:11">
      <c r="A333" s="1">
        <v>45776</v>
      </c>
      <c r="B333">
        <v>182</v>
      </c>
      <c r="C333">
        <v>71.839218139648395</v>
      </c>
      <c r="D333">
        <v>393.31793212890602</v>
      </c>
      <c r="E333">
        <v>1125.64001464843</v>
      </c>
      <c r="F333">
        <v>57.160137176513601</v>
      </c>
      <c r="G333">
        <v>109.01242828369099</v>
      </c>
      <c r="H333">
        <v>132.85226440429599</v>
      </c>
      <c r="I333">
        <v>84.256843566894503</v>
      </c>
      <c r="J333">
        <v>292.02999877929602</v>
      </c>
      <c r="K333">
        <v>301.63586425781199</v>
      </c>
    </row>
    <row r="334" spans="1:11">
      <c r="A334" s="1">
        <v>45777</v>
      </c>
      <c r="B334">
        <v>183.24000549316401</v>
      </c>
      <c r="C334">
        <v>72.037811279296804</v>
      </c>
      <c r="D334">
        <v>394.53570556640602</v>
      </c>
      <c r="E334">
        <v>1131.71997070312</v>
      </c>
      <c r="F334">
        <v>56.027664184570298</v>
      </c>
      <c r="G334">
        <v>108.91243743896401</v>
      </c>
      <c r="H334">
        <v>134.10848999023401</v>
      </c>
      <c r="I334">
        <v>79.490402221679602</v>
      </c>
      <c r="J334">
        <v>282.16000366210898</v>
      </c>
      <c r="K334">
        <v>306.870025634765</v>
      </c>
    </row>
    <row r="335" spans="1:11">
      <c r="A335" s="1">
        <v>45778</v>
      </c>
      <c r="B335">
        <v>182.88999938964801</v>
      </c>
      <c r="C335">
        <v>70.786705017089801</v>
      </c>
      <c r="D335">
        <v>424.62045288085898</v>
      </c>
      <c r="E335">
        <v>1133.46997070312</v>
      </c>
      <c r="F335">
        <v>56.385284423828097</v>
      </c>
      <c r="G335">
        <v>111.602249145507</v>
      </c>
      <c r="H335">
        <v>132.10052490234301</v>
      </c>
      <c r="I335">
        <v>81.436698913574205</v>
      </c>
      <c r="J335">
        <v>280.51998901367102</v>
      </c>
      <c r="K335">
        <v>305.43435668945301</v>
      </c>
    </row>
    <row r="336" spans="1:11">
      <c r="A336" s="1">
        <v>45779</v>
      </c>
      <c r="B336">
        <v>185.46000671386699</v>
      </c>
      <c r="C336">
        <v>71.1441650390625</v>
      </c>
      <c r="D336">
        <v>434.48236083984301</v>
      </c>
      <c r="E336">
        <v>1156.48999023437</v>
      </c>
      <c r="F336">
        <v>58.2032051086425</v>
      </c>
      <c r="G336">
        <v>114.492050170898</v>
      </c>
      <c r="H336">
        <v>132.29835510253901</v>
      </c>
      <c r="I336">
        <v>84.097969055175696</v>
      </c>
      <c r="J336">
        <v>287.20999145507801</v>
      </c>
      <c r="K336">
        <v>311.12713623046801</v>
      </c>
    </row>
    <row r="337" spans="1:11">
      <c r="A337" s="1">
        <v>45782</v>
      </c>
      <c r="B337">
        <v>186.46000671386699</v>
      </c>
      <c r="C337">
        <v>71.193809509277301</v>
      </c>
      <c r="D337">
        <v>435.37072753906199</v>
      </c>
      <c r="E337">
        <v>1134.06005859375</v>
      </c>
      <c r="F337">
        <v>56.971389770507798</v>
      </c>
      <c r="G337">
        <v>113.81209564208901</v>
      </c>
      <c r="H337">
        <v>130.55744934082</v>
      </c>
      <c r="I337">
        <v>81.089149475097599</v>
      </c>
      <c r="J337">
        <v>280.260009765625</v>
      </c>
      <c r="K337">
        <v>308.35552978515602</v>
      </c>
    </row>
    <row r="338" spans="1:11">
      <c r="A338" s="1">
        <v>45783</v>
      </c>
      <c r="B338">
        <v>185.96000671386699</v>
      </c>
      <c r="C338">
        <v>71.213668823242102</v>
      </c>
      <c r="D338">
        <v>432.51596069335898</v>
      </c>
      <c r="E338">
        <v>1137.68994140625</v>
      </c>
      <c r="F338">
        <v>56.663436889648402</v>
      </c>
      <c r="G338">
        <v>113.53211975097599</v>
      </c>
      <c r="H338">
        <v>129.321029663085</v>
      </c>
      <c r="I338">
        <v>82.201316833496094</v>
      </c>
      <c r="J338">
        <v>275.350006103515</v>
      </c>
      <c r="K338">
        <v>306.62075805664</v>
      </c>
    </row>
    <row r="339" spans="1:11">
      <c r="A339" s="1">
        <v>45784</v>
      </c>
      <c r="B339">
        <v>185.55999755859301</v>
      </c>
      <c r="C339">
        <v>71.888870239257798</v>
      </c>
      <c r="D339">
        <v>432.555908203125</v>
      </c>
      <c r="E339">
        <v>1155.41003417968</v>
      </c>
      <c r="F339">
        <v>58.233005523681598</v>
      </c>
      <c r="G339">
        <v>117.051872253417</v>
      </c>
      <c r="H339">
        <v>130.48820495605401</v>
      </c>
      <c r="I339">
        <v>82.131805419921804</v>
      </c>
      <c r="J339">
        <v>276.22000122070301</v>
      </c>
      <c r="K339">
        <v>305.09539794921801</v>
      </c>
    </row>
    <row r="340" spans="1:11">
      <c r="A340" s="1">
        <v>45785</v>
      </c>
      <c r="B340">
        <v>191.69999694824199</v>
      </c>
      <c r="C340">
        <v>70.667549133300696</v>
      </c>
      <c r="D340">
        <v>437.36706542968699</v>
      </c>
      <c r="E340">
        <v>1144.43005371093</v>
      </c>
      <c r="F340">
        <v>58.521091461181598</v>
      </c>
      <c r="G340">
        <v>117.361854553222</v>
      </c>
      <c r="H340">
        <v>130.00352478027301</v>
      </c>
      <c r="I340">
        <v>81.615440368652301</v>
      </c>
      <c r="J340">
        <v>284.82000732421801</v>
      </c>
      <c r="K340">
        <v>308.23590087890602</v>
      </c>
    </row>
    <row r="341" spans="1:11">
      <c r="A341" s="1">
        <v>45786</v>
      </c>
      <c r="B341">
        <v>194.850006103515</v>
      </c>
      <c r="C341">
        <v>70.022140502929602</v>
      </c>
      <c r="D341">
        <v>437.92605590820301</v>
      </c>
      <c r="E341">
        <v>1140.21997070312</v>
      </c>
      <c r="F341">
        <v>57.915115356445298</v>
      </c>
      <c r="G341">
        <v>116.64189910888599</v>
      </c>
      <c r="H341">
        <v>129.02427673339801</v>
      </c>
      <c r="I341">
        <v>79.738655090332003</v>
      </c>
      <c r="J341">
        <v>298.260009765625</v>
      </c>
      <c r="K341">
        <v>308.13619995117102</v>
      </c>
    </row>
    <row r="342" spans="1:11">
      <c r="A342" s="1">
        <v>45789</v>
      </c>
      <c r="B342">
        <v>198.52999877929599</v>
      </c>
      <c r="C342">
        <v>69.039131164550696</v>
      </c>
      <c r="D342">
        <v>448.43673706054602</v>
      </c>
      <c r="E342">
        <v>1110</v>
      </c>
      <c r="F342">
        <v>62.166862487792898</v>
      </c>
      <c r="G342">
        <v>122.99146270751901</v>
      </c>
      <c r="H342">
        <v>130.25080871582</v>
      </c>
      <c r="I342">
        <v>85.071113586425696</v>
      </c>
      <c r="J342">
        <v>318.38000488281199</v>
      </c>
      <c r="K342">
        <v>306.53103637695301</v>
      </c>
    </row>
    <row r="343" spans="1:11">
      <c r="A343" s="1">
        <v>45790</v>
      </c>
      <c r="B343">
        <v>203.419998168945</v>
      </c>
      <c r="C343">
        <v>68.473152160644503</v>
      </c>
      <c r="D343">
        <v>448.31698608398398</v>
      </c>
      <c r="E343">
        <v>1138.43994140625</v>
      </c>
      <c r="F343">
        <v>61.978115081787102</v>
      </c>
      <c r="G343">
        <v>129.920974731445</v>
      </c>
      <c r="H343">
        <v>128.89567565917901</v>
      </c>
      <c r="I343">
        <v>86.272651672363196</v>
      </c>
      <c r="J343">
        <v>334.07000732421801</v>
      </c>
      <c r="K343">
        <v>303.29086303710898</v>
      </c>
    </row>
    <row r="344" spans="1:11">
      <c r="A344" s="1">
        <v>45791</v>
      </c>
      <c r="B344">
        <v>204.72000122070301</v>
      </c>
      <c r="C344">
        <v>68.671745300292898</v>
      </c>
      <c r="D344">
        <v>452.10998535156199</v>
      </c>
      <c r="E344">
        <v>1150.98999023437</v>
      </c>
      <c r="F344">
        <v>61.322471618652301</v>
      </c>
      <c r="G344">
        <v>135.33059692382801</v>
      </c>
      <c r="H344">
        <v>127.055870056152</v>
      </c>
      <c r="I344">
        <v>85.935035705566406</v>
      </c>
      <c r="J344">
        <v>347.67999267578102</v>
      </c>
      <c r="K344">
        <v>302.45339965820301</v>
      </c>
    </row>
    <row r="345" spans="1:11">
      <c r="A345" s="1">
        <v>45792</v>
      </c>
      <c r="B345">
        <v>206.24000549316401</v>
      </c>
      <c r="C345">
        <v>71.104446411132798</v>
      </c>
      <c r="D345">
        <v>453.13000488281199</v>
      </c>
      <c r="E345">
        <v>1177.97998046875</v>
      </c>
      <c r="F345">
        <v>61.988052368163999</v>
      </c>
      <c r="G345">
        <v>134.82063293457</v>
      </c>
      <c r="H345">
        <v>130.07276916503901</v>
      </c>
      <c r="I345">
        <v>86.650001525878906</v>
      </c>
      <c r="J345">
        <v>342.82000732421801</v>
      </c>
      <c r="K345">
        <v>309.07336425781199</v>
      </c>
    </row>
    <row r="346" spans="1:11">
      <c r="A346" s="1">
        <v>45793</v>
      </c>
      <c r="B346">
        <v>205.82000732421801</v>
      </c>
      <c r="C346">
        <v>71.491691589355398</v>
      </c>
      <c r="D346">
        <v>454.26998901367102</v>
      </c>
      <c r="E346">
        <v>1191.53002929687</v>
      </c>
      <c r="F346">
        <v>62.693363189697202</v>
      </c>
      <c r="G346">
        <v>135.39059448242099</v>
      </c>
      <c r="H346">
        <v>130.54756164550699</v>
      </c>
      <c r="I346">
        <v>85.569999694824205</v>
      </c>
      <c r="J346">
        <v>349.98001098632801</v>
      </c>
      <c r="K346">
        <v>310.987548828125</v>
      </c>
    </row>
    <row r="347" spans="1:11">
      <c r="A347" s="1">
        <v>45796</v>
      </c>
      <c r="B347">
        <v>205.25</v>
      </c>
      <c r="C347">
        <v>71.422187805175696</v>
      </c>
      <c r="D347">
        <v>458.86999511718699</v>
      </c>
      <c r="E347">
        <v>1191.64001464843</v>
      </c>
      <c r="F347">
        <v>61.670166015625</v>
      </c>
      <c r="G347">
        <v>135.56059265136699</v>
      </c>
      <c r="H347">
        <v>130.359619140625</v>
      </c>
      <c r="I347">
        <v>84.610000610351506</v>
      </c>
      <c r="J347">
        <v>342.08999633789</v>
      </c>
      <c r="K347">
        <v>312.97155761718699</v>
      </c>
    </row>
    <row r="348" spans="1:11">
      <c r="A348" s="1">
        <v>45797</v>
      </c>
      <c r="B348">
        <v>207.669998168945</v>
      </c>
      <c r="C348">
        <v>71.183883666992102</v>
      </c>
      <c r="D348">
        <v>458.17001342773398</v>
      </c>
      <c r="E348">
        <v>1192.02001953125</v>
      </c>
      <c r="F348">
        <v>62.146995544433501</v>
      </c>
      <c r="G348">
        <v>134.37066650390599</v>
      </c>
      <c r="H348">
        <v>130.36952209472599</v>
      </c>
      <c r="I348">
        <v>85.589996337890597</v>
      </c>
      <c r="J348">
        <v>343.82000732421801</v>
      </c>
      <c r="K348">
        <v>311.79510498046801</v>
      </c>
    </row>
    <row r="349" spans="1:11">
      <c r="A349" s="1">
        <v>45798</v>
      </c>
      <c r="B349">
        <v>203.21000671386699</v>
      </c>
      <c r="C349">
        <v>71.342750549316406</v>
      </c>
      <c r="D349">
        <v>452.57000732421801</v>
      </c>
      <c r="E349">
        <v>1194.63000488281</v>
      </c>
      <c r="F349">
        <v>59.584026336669901</v>
      </c>
      <c r="G349">
        <v>131.79084777832</v>
      </c>
      <c r="H349">
        <v>128.73741149902301</v>
      </c>
      <c r="I349">
        <v>82.980003356933594</v>
      </c>
      <c r="J349">
        <v>334.61999511718699</v>
      </c>
      <c r="K349">
        <v>309.890869140625</v>
      </c>
    </row>
    <row r="350" spans="1:11">
      <c r="A350" s="1">
        <v>45799</v>
      </c>
      <c r="B350">
        <v>203.41000366210901</v>
      </c>
      <c r="C350">
        <v>70.637763977050696</v>
      </c>
      <c r="D350">
        <v>454.85998535156199</v>
      </c>
      <c r="E350">
        <v>1187.96997070312</v>
      </c>
      <c r="F350">
        <v>60.9151802062988</v>
      </c>
      <c r="G350">
        <v>132.82078552246</v>
      </c>
      <c r="H350">
        <v>128.707748413085</v>
      </c>
      <c r="I350">
        <v>83.970001220703097</v>
      </c>
      <c r="J350">
        <v>341.04000854492102</v>
      </c>
      <c r="K350">
        <v>307.13922119140602</v>
      </c>
    </row>
    <row r="351" spans="1:11">
      <c r="A351" s="1">
        <v>45800</v>
      </c>
      <c r="B351">
        <v>202.36000061035099</v>
      </c>
      <c r="C351">
        <v>71.263313293457003</v>
      </c>
      <c r="D351">
        <v>450.17999267578102</v>
      </c>
      <c r="E351">
        <v>1185.39001464843</v>
      </c>
      <c r="F351">
        <v>59.623764038085902</v>
      </c>
      <c r="G351">
        <v>131.28088378906199</v>
      </c>
      <c r="H351">
        <v>127.93621063232401</v>
      </c>
      <c r="I351">
        <v>84.400001525878906</v>
      </c>
      <c r="J351">
        <v>339.33999633789</v>
      </c>
      <c r="K351">
        <v>308.086334228515</v>
      </c>
    </row>
    <row r="352" spans="1:11">
      <c r="A352" s="1">
        <v>45804</v>
      </c>
      <c r="B352">
        <v>201.02999877929599</v>
      </c>
      <c r="C352">
        <v>71.273246765136705</v>
      </c>
      <c r="D352">
        <v>460.69000244140602</v>
      </c>
      <c r="E352">
        <v>1211.56994628906</v>
      </c>
      <c r="F352">
        <v>62.415214538574197</v>
      </c>
      <c r="G352">
        <v>135.49058532714801</v>
      </c>
      <c r="H352">
        <v>129.94416809082</v>
      </c>
      <c r="I352">
        <v>87.010002136230398</v>
      </c>
      <c r="J352">
        <v>362.89001464843699</v>
      </c>
      <c r="K352">
        <v>311.70535278320301</v>
      </c>
    </row>
    <row r="353" spans="1:11">
      <c r="A353" s="1">
        <v>45805</v>
      </c>
      <c r="B353">
        <v>201.5</v>
      </c>
      <c r="C353">
        <v>70.647697448730398</v>
      </c>
      <c r="D353">
        <v>457.35998535156199</v>
      </c>
      <c r="E353">
        <v>1208.55004882812</v>
      </c>
      <c r="F353">
        <v>61.372142791747997</v>
      </c>
      <c r="G353">
        <v>134.80064392089801</v>
      </c>
      <c r="H353">
        <v>129.25177001953099</v>
      </c>
      <c r="I353">
        <v>86</v>
      </c>
      <c r="J353">
        <v>356.89999389648398</v>
      </c>
      <c r="K353">
        <v>310.07034301757801</v>
      </c>
    </row>
    <row r="354" spans="1:11">
      <c r="A354" s="1">
        <v>45806</v>
      </c>
      <c r="B354">
        <v>208.17999267578099</v>
      </c>
      <c r="C354">
        <v>70.985290527343693</v>
      </c>
      <c r="D354">
        <v>458.67999267578102</v>
      </c>
      <c r="E354">
        <v>1184.85998535156</v>
      </c>
      <c r="F354">
        <v>61.034385681152301</v>
      </c>
      <c r="G354">
        <v>139.18034362792901</v>
      </c>
      <c r="H354">
        <v>130.48820495605401</v>
      </c>
      <c r="I354">
        <v>84.050003051757798</v>
      </c>
      <c r="J354">
        <v>358.42999267578102</v>
      </c>
      <c r="K354">
        <v>314.32742309570301</v>
      </c>
    </row>
    <row r="355" spans="1:11">
      <c r="A355" s="1">
        <v>45807</v>
      </c>
      <c r="B355">
        <v>207.32000732421801</v>
      </c>
      <c r="C355">
        <v>71.590988159179602</v>
      </c>
      <c r="D355">
        <v>460.35998535156199</v>
      </c>
      <c r="E355">
        <v>1207.22998046875</v>
      </c>
      <c r="F355">
        <v>60.189998626708899</v>
      </c>
      <c r="G355">
        <v>135.12062072753901</v>
      </c>
      <c r="H355">
        <v>130.02331542968699</v>
      </c>
      <c r="I355">
        <v>83.949996948242102</v>
      </c>
      <c r="J355">
        <v>346.45999145507801</v>
      </c>
      <c r="K355">
        <v>315.59356689453102</v>
      </c>
    </row>
    <row r="356" spans="1:11">
      <c r="A356" s="1">
        <v>45810</v>
      </c>
      <c r="B356">
        <v>211.47000122070301</v>
      </c>
      <c r="C356">
        <v>71.491691589355398</v>
      </c>
      <c r="D356">
        <v>461.97000122070301</v>
      </c>
      <c r="E356">
        <v>1218.97998046875</v>
      </c>
      <c r="F356">
        <v>61.569999694824197</v>
      </c>
      <c r="G356">
        <v>137.37046813964801</v>
      </c>
      <c r="H356">
        <v>129.48918151855401</v>
      </c>
      <c r="I356">
        <v>85.190002441406193</v>
      </c>
      <c r="J356">
        <v>342.69000244140602</v>
      </c>
      <c r="K356">
        <v>316.35128784179602</v>
      </c>
    </row>
    <row r="357" spans="1:11">
      <c r="A357" s="1">
        <v>45811</v>
      </c>
      <c r="B357">
        <v>213.42999267578099</v>
      </c>
      <c r="C357">
        <v>70.657630920410099</v>
      </c>
      <c r="D357">
        <v>462.97000122070301</v>
      </c>
      <c r="E357">
        <v>1217.93994140625</v>
      </c>
      <c r="F357">
        <v>62.369998931884702</v>
      </c>
      <c r="G357">
        <v>141.210189819335</v>
      </c>
      <c r="H357">
        <v>130.41897583007801</v>
      </c>
      <c r="I357">
        <v>86.599998474121094</v>
      </c>
      <c r="J357">
        <v>344.26998901367102</v>
      </c>
      <c r="K357">
        <v>312.83197021484301</v>
      </c>
    </row>
    <row r="358" spans="1:11">
      <c r="A358" s="1">
        <v>45812</v>
      </c>
      <c r="B358">
        <v>211.97999572753901</v>
      </c>
      <c r="C358">
        <v>70.866142272949205</v>
      </c>
      <c r="D358">
        <v>463.86999511718699</v>
      </c>
      <c r="E358">
        <v>1239.66003417968</v>
      </c>
      <c r="F358">
        <v>62.770000457763601</v>
      </c>
      <c r="G358">
        <v>141.91014099121</v>
      </c>
      <c r="H358">
        <v>130.31016540527301</v>
      </c>
      <c r="I358">
        <v>88.110000610351506</v>
      </c>
      <c r="J358">
        <v>332.04998779296801</v>
      </c>
      <c r="K358">
        <v>308.49508666992102</v>
      </c>
    </row>
    <row r="359" spans="1:11">
      <c r="A359" s="1">
        <v>45813</v>
      </c>
      <c r="B359">
        <v>209.02000427246</v>
      </c>
      <c r="C359">
        <v>70.409393310546804</v>
      </c>
      <c r="D359">
        <v>467.67999267578102</v>
      </c>
      <c r="E359">
        <v>1250.52001953125</v>
      </c>
      <c r="F359">
        <v>62.669998168945298</v>
      </c>
      <c r="G359">
        <v>139.98028564453099</v>
      </c>
      <c r="H359">
        <v>129.68699645996</v>
      </c>
      <c r="I359">
        <v>86.989997863769503</v>
      </c>
      <c r="J359">
        <v>284.70001220703102</v>
      </c>
      <c r="K359">
        <v>306.74041748046801</v>
      </c>
    </row>
    <row r="360" spans="1:11">
      <c r="A360" s="1">
        <v>45814</v>
      </c>
      <c r="B360">
        <v>210.80000305175699</v>
      </c>
      <c r="C360">
        <v>70.846282958984304</v>
      </c>
      <c r="D360">
        <v>470.38000488281199</v>
      </c>
      <c r="E360">
        <v>1241.46997070312</v>
      </c>
      <c r="F360">
        <v>62.799999237060497</v>
      </c>
      <c r="G360">
        <v>141.71015930175699</v>
      </c>
      <c r="H360">
        <v>130.02999877929599</v>
      </c>
      <c r="I360">
        <v>89.639999389648395</v>
      </c>
      <c r="J360">
        <v>295.14001464843699</v>
      </c>
      <c r="K360">
        <v>308.3056640625</v>
      </c>
    </row>
    <row r="361" spans="1:11">
      <c r="A361" s="1">
        <v>45817</v>
      </c>
      <c r="B361">
        <v>217.509994506835</v>
      </c>
      <c r="C361">
        <v>71.263313293457003</v>
      </c>
      <c r="D361">
        <v>472.75</v>
      </c>
      <c r="E361">
        <v>1224.4599609375</v>
      </c>
      <c r="F361">
        <v>61.909999847412102</v>
      </c>
      <c r="G361">
        <v>142.62010192871</v>
      </c>
      <c r="H361">
        <v>129.96000671386699</v>
      </c>
      <c r="I361">
        <v>90.669998168945298</v>
      </c>
      <c r="J361">
        <v>308.579986572265</v>
      </c>
      <c r="K361">
        <v>300.26007080078102</v>
      </c>
    </row>
    <row r="362" spans="1:11">
      <c r="A362" s="1">
        <v>45818</v>
      </c>
      <c r="B362">
        <v>215.72999572753901</v>
      </c>
      <c r="C362">
        <v>71.839218139648395</v>
      </c>
      <c r="D362">
        <v>470.92001342773398</v>
      </c>
      <c r="E362">
        <v>1203.61999511718</v>
      </c>
      <c r="F362">
        <v>63.869998931884702</v>
      </c>
      <c r="G362">
        <v>143.95001220703099</v>
      </c>
      <c r="H362">
        <v>131.83000183105401</v>
      </c>
      <c r="I362">
        <v>91.430000305175696</v>
      </c>
      <c r="J362">
        <v>326.08999633789</v>
      </c>
      <c r="K362">
        <v>295.93316650390602</v>
      </c>
    </row>
    <row r="363" spans="1:11">
      <c r="A363" s="1">
        <v>45819</v>
      </c>
      <c r="B363">
        <v>214</v>
      </c>
      <c r="C363">
        <v>71.561195373535099</v>
      </c>
      <c r="D363">
        <v>472.61999511718699</v>
      </c>
      <c r="E363">
        <v>1219.88000488281</v>
      </c>
      <c r="F363">
        <v>63.110000610351499</v>
      </c>
      <c r="G363">
        <v>142.83000183105401</v>
      </c>
      <c r="H363">
        <v>129.89999389648401</v>
      </c>
      <c r="I363">
        <v>95.389999389648395</v>
      </c>
      <c r="J363">
        <v>326.42999267578102</v>
      </c>
      <c r="K363">
        <v>295.06579589843699</v>
      </c>
    </row>
    <row r="364" spans="1:11">
      <c r="A364" s="1">
        <v>45820</v>
      </c>
      <c r="B364">
        <v>203.75</v>
      </c>
      <c r="C364">
        <v>71.729995727539006</v>
      </c>
      <c r="D364">
        <v>478.86999511718699</v>
      </c>
      <c r="E364">
        <v>1215.03002929687</v>
      </c>
      <c r="F364">
        <v>62.799999237060497</v>
      </c>
      <c r="G364">
        <v>145</v>
      </c>
      <c r="H364">
        <v>132.30000305175699</v>
      </c>
      <c r="I364">
        <v>94.319999694824205</v>
      </c>
      <c r="J364">
        <v>319.10998535156199</v>
      </c>
      <c r="K364">
        <v>300.20022583007801</v>
      </c>
    </row>
    <row r="365" spans="1:11">
      <c r="A365" s="1">
        <v>45821</v>
      </c>
      <c r="B365">
        <v>200.32000732421801</v>
      </c>
      <c r="C365">
        <v>71.019996643066406</v>
      </c>
      <c r="D365">
        <v>474.95999145507801</v>
      </c>
      <c r="E365">
        <v>1212.15002441406</v>
      </c>
      <c r="F365">
        <v>60.529998779296797</v>
      </c>
      <c r="G365">
        <v>141.97000122070301</v>
      </c>
      <c r="H365">
        <v>130.850006103515</v>
      </c>
      <c r="I365">
        <v>93.260002136230398</v>
      </c>
      <c r="J365">
        <v>325.30999755859301</v>
      </c>
      <c r="K365">
        <v>295.43466186523398</v>
      </c>
    </row>
    <row r="366" spans="1:11">
      <c r="A366" s="1">
        <v>45824</v>
      </c>
      <c r="B366">
        <v>201.69999694824199</v>
      </c>
      <c r="C366">
        <v>70.519996643066406</v>
      </c>
      <c r="D366">
        <v>479.14001464843699</v>
      </c>
      <c r="E366">
        <v>1225.34997558593</v>
      </c>
      <c r="F366">
        <v>61.900001525878899</v>
      </c>
      <c r="G366">
        <v>144.69000244140599</v>
      </c>
      <c r="H366">
        <v>131.41000366210901</v>
      </c>
      <c r="I366">
        <v>93.480003356933594</v>
      </c>
      <c r="J366">
        <v>329.13000488281199</v>
      </c>
      <c r="K366">
        <v>296.93014526367102</v>
      </c>
    </row>
    <row r="367" spans="1:11">
      <c r="A367" s="1">
        <v>45825</v>
      </c>
      <c r="B367">
        <v>200.259994506835</v>
      </c>
      <c r="C367">
        <v>69.620002746582003</v>
      </c>
      <c r="D367">
        <v>478.04000854492102</v>
      </c>
      <c r="E367">
        <v>1220.67004394531</v>
      </c>
      <c r="F367">
        <v>60</v>
      </c>
      <c r="G367">
        <v>144.11999511718699</v>
      </c>
      <c r="H367">
        <v>129.28999328613199</v>
      </c>
      <c r="I367">
        <v>91.589996337890597</v>
      </c>
      <c r="J367">
        <v>316.350006103515</v>
      </c>
      <c r="K367">
        <v>296.89028930664</v>
      </c>
    </row>
    <row r="368" spans="1:11">
      <c r="A368" s="1">
        <v>45826</v>
      </c>
      <c r="B368">
        <v>197.67999267578099</v>
      </c>
      <c r="C368">
        <v>69.209999084472599</v>
      </c>
      <c r="D368">
        <v>480.239990234375</v>
      </c>
      <c r="E368">
        <v>1222.2900390625</v>
      </c>
      <c r="F368">
        <v>59.509998321533203</v>
      </c>
      <c r="G368">
        <v>145.47999572753901</v>
      </c>
      <c r="H368">
        <v>129.07000732421801</v>
      </c>
      <c r="I368">
        <v>92.279998779296804</v>
      </c>
      <c r="J368">
        <v>322.04998779296801</v>
      </c>
      <c r="K368">
        <v>296.60113525390602</v>
      </c>
    </row>
    <row r="369" spans="1:11">
      <c r="A369" s="1">
        <v>45828</v>
      </c>
      <c r="B369">
        <v>198.75</v>
      </c>
      <c r="C369">
        <v>68.839996337890597</v>
      </c>
      <c r="D369">
        <v>477.39999389648398</v>
      </c>
      <c r="E369">
        <v>1231.41003417968</v>
      </c>
      <c r="F369">
        <v>59.790000915527301</v>
      </c>
      <c r="G369">
        <v>143.850006103515</v>
      </c>
      <c r="H369">
        <v>129.07000732421801</v>
      </c>
      <c r="I369">
        <v>93.120002746582003</v>
      </c>
      <c r="J369">
        <v>322.16000366210898</v>
      </c>
      <c r="K369">
        <v>298.09661865234301</v>
      </c>
    </row>
    <row r="370" spans="1:11">
      <c r="A370" s="1">
        <v>45831</v>
      </c>
      <c r="B370">
        <v>201.30999755859301</v>
      </c>
      <c r="C370">
        <v>69.739997863769503</v>
      </c>
      <c r="D370">
        <v>486</v>
      </c>
      <c r="E370">
        <v>1253.5400390625</v>
      </c>
      <c r="F370">
        <v>60.779998779296797</v>
      </c>
      <c r="G370">
        <v>144.169998168945</v>
      </c>
      <c r="H370">
        <v>129.08999633789</v>
      </c>
      <c r="I370">
        <v>92.339996337890597</v>
      </c>
      <c r="J370">
        <v>348.67999267578102</v>
      </c>
      <c r="K370">
        <v>302.7724609375</v>
      </c>
    </row>
    <row r="371" spans="1:11">
      <c r="A371" s="1">
        <v>45832</v>
      </c>
      <c r="B371">
        <v>200.94000244140599</v>
      </c>
      <c r="C371">
        <v>70.209999084472599</v>
      </c>
      <c r="D371">
        <v>490.10998535156199</v>
      </c>
      <c r="E371">
        <v>1279.10998535156</v>
      </c>
      <c r="F371">
        <v>61.419998168945298</v>
      </c>
      <c r="G371">
        <v>147.89999389648401</v>
      </c>
      <c r="H371">
        <v>131.05000305175699</v>
      </c>
      <c r="I371">
        <v>91.5</v>
      </c>
      <c r="J371">
        <v>340.47000122070301</v>
      </c>
      <c r="K371">
        <v>301.46640014648398</v>
      </c>
    </row>
    <row r="372" spans="1:11">
      <c r="A372" s="1">
        <v>45833</v>
      </c>
      <c r="B372">
        <v>198.89999389648401</v>
      </c>
      <c r="C372">
        <v>69.629997253417898</v>
      </c>
      <c r="D372">
        <v>492.26998901367102</v>
      </c>
      <c r="E372">
        <v>1275.25</v>
      </c>
      <c r="F372">
        <v>60.830001831054602</v>
      </c>
      <c r="G372">
        <v>154.30999755859301</v>
      </c>
      <c r="H372">
        <v>128.02000427246</v>
      </c>
      <c r="I372">
        <v>91.099998474121094</v>
      </c>
      <c r="J372">
        <v>327.54998779296801</v>
      </c>
      <c r="K372">
        <v>297.87728881835898</v>
      </c>
    </row>
    <row r="373" spans="1:11">
      <c r="A373" s="1">
        <v>45834</v>
      </c>
      <c r="B373">
        <v>202.58000183105401</v>
      </c>
      <c r="C373">
        <v>69.470001220703097</v>
      </c>
      <c r="D373">
        <v>497.45001220703102</v>
      </c>
      <c r="E373">
        <v>1306.67004394531</v>
      </c>
      <c r="F373">
        <v>62.540000915527301</v>
      </c>
      <c r="G373">
        <v>155.02000427246</v>
      </c>
      <c r="H373">
        <v>128.22000122070301</v>
      </c>
      <c r="I373">
        <v>91.839996337890597</v>
      </c>
      <c r="J373">
        <v>325.77999877929602</v>
      </c>
      <c r="K373">
        <v>300.89813232421801</v>
      </c>
    </row>
    <row r="374" spans="1:11">
      <c r="A374" s="1">
        <v>45835</v>
      </c>
      <c r="B374">
        <v>214.55000305175699</v>
      </c>
      <c r="C374">
        <v>70.330001831054602</v>
      </c>
      <c r="D374">
        <v>495.94000244140602</v>
      </c>
      <c r="E374">
        <v>1323.11999511718</v>
      </c>
      <c r="F374">
        <v>72.040000915527301</v>
      </c>
      <c r="G374">
        <v>157.75</v>
      </c>
      <c r="H374">
        <v>131.03999328613199</v>
      </c>
      <c r="I374">
        <v>92.110000610351506</v>
      </c>
      <c r="J374">
        <v>323.63000488281199</v>
      </c>
      <c r="K374">
        <v>303.579986572265</v>
      </c>
    </row>
    <row r="375" spans="1:11">
      <c r="A375" s="1">
        <v>45838</v>
      </c>
      <c r="B375">
        <v>209.52999877929599</v>
      </c>
      <c r="C375">
        <v>70.75</v>
      </c>
      <c r="D375">
        <v>497.41000366210898</v>
      </c>
      <c r="E375">
        <v>1339.13000488281</v>
      </c>
      <c r="F375">
        <v>71.040000915527301</v>
      </c>
      <c r="G375">
        <v>157.99000549316401</v>
      </c>
      <c r="H375">
        <v>132.03999328613199</v>
      </c>
      <c r="I375">
        <v>91.629997253417898</v>
      </c>
      <c r="J375">
        <v>317.66000366210898</v>
      </c>
      <c r="K375">
        <v>306.5</v>
      </c>
    </row>
    <row r="376" spans="1:11">
      <c r="A376" s="1">
        <v>45839</v>
      </c>
      <c r="B376">
        <v>209.78999328613199</v>
      </c>
      <c r="C376">
        <v>71.669998168945298</v>
      </c>
      <c r="D376">
        <v>492.04998779296801</v>
      </c>
      <c r="E376">
        <v>1293.59997558593</v>
      </c>
      <c r="F376">
        <v>73.410003662109304</v>
      </c>
      <c r="G376">
        <v>153.30000305175699</v>
      </c>
      <c r="H376">
        <v>135.259994506835</v>
      </c>
      <c r="I376">
        <v>94.919998168945298</v>
      </c>
      <c r="J376">
        <v>300.70999145507801</v>
      </c>
      <c r="K376">
        <v>307.60998535156199</v>
      </c>
    </row>
    <row r="377" spans="1:11">
      <c r="A377" s="1">
        <v>45840</v>
      </c>
      <c r="B377">
        <v>212.02999877929599</v>
      </c>
      <c r="C377">
        <v>70.910003662109304</v>
      </c>
      <c r="D377">
        <v>491.08999633789</v>
      </c>
      <c r="E377">
        <v>1284.85998535156</v>
      </c>
      <c r="F377">
        <v>76.389999389648395</v>
      </c>
      <c r="G377">
        <v>157.25</v>
      </c>
      <c r="H377">
        <v>136.47999572753901</v>
      </c>
      <c r="I377">
        <v>94.180000305175696</v>
      </c>
      <c r="J377">
        <v>315.64999389648398</v>
      </c>
      <c r="K377">
        <v>304.45999145507801</v>
      </c>
    </row>
    <row r="378" spans="1:11">
      <c r="A378" s="1">
        <v>45841</v>
      </c>
      <c r="B378">
        <v>215.919998168945</v>
      </c>
      <c r="C378">
        <v>71.349998474121094</v>
      </c>
      <c r="D378">
        <v>498.83999633789</v>
      </c>
      <c r="E378">
        <v>1297.18005371093</v>
      </c>
      <c r="F378">
        <v>76.389999389648395</v>
      </c>
      <c r="G378">
        <v>159.33999633789</v>
      </c>
      <c r="H378">
        <v>135.38000488281199</v>
      </c>
      <c r="I378">
        <v>94.440002441406193</v>
      </c>
      <c r="J378">
        <v>315.350006103515</v>
      </c>
      <c r="K378">
        <v>306.64001464843699</v>
      </c>
    </row>
    <row r="379" spans="1:11">
      <c r="A379" s="1">
        <v>45845</v>
      </c>
      <c r="B379">
        <v>218.63000488281199</v>
      </c>
      <c r="C379">
        <v>71.010002136230398</v>
      </c>
      <c r="D379">
        <v>497.72000122070301</v>
      </c>
      <c r="E379">
        <v>1289.61999511718</v>
      </c>
      <c r="F379">
        <v>76.529998779296804</v>
      </c>
      <c r="G379">
        <v>158.24000549316401</v>
      </c>
      <c r="H379">
        <v>134.44999694824199</v>
      </c>
      <c r="I379">
        <v>93.639999389648395</v>
      </c>
      <c r="J379">
        <v>293.94000244140602</v>
      </c>
      <c r="K379">
        <v>305.29998779296801</v>
      </c>
    </row>
    <row r="380" spans="1:11">
      <c r="A380" s="1">
        <v>45846</v>
      </c>
      <c r="B380">
        <v>218.52000427246</v>
      </c>
      <c r="C380">
        <v>70.239997863769503</v>
      </c>
      <c r="D380">
        <v>496.61999511718699</v>
      </c>
      <c r="E380">
        <v>1275.31005859375</v>
      </c>
      <c r="F380">
        <v>73.919998168945298</v>
      </c>
      <c r="G380">
        <v>160</v>
      </c>
      <c r="H380">
        <v>135.03999328613199</v>
      </c>
      <c r="I380">
        <v>94.940002441406193</v>
      </c>
      <c r="J380">
        <v>297.80999755859301</v>
      </c>
      <c r="K380">
        <v>305.08999633789</v>
      </c>
    </row>
    <row r="381" spans="1:11">
      <c r="A381" s="1">
        <v>45847</v>
      </c>
      <c r="B381">
        <v>226.600006103515</v>
      </c>
      <c r="C381">
        <v>69.480003356933594</v>
      </c>
      <c r="D381">
        <v>503.510009765625</v>
      </c>
      <c r="E381">
        <v>1288.28002929687</v>
      </c>
      <c r="F381">
        <v>73.559997558593693</v>
      </c>
      <c r="G381">
        <v>162.88000488281199</v>
      </c>
      <c r="H381">
        <v>134.47999572753901</v>
      </c>
      <c r="I381">
        <v>95.25</v>
      </c>
      <c r="J381">
        <v>295.88000488281199</v>
      </c>
      <c r="K381">
        <v>308.510009765625</v>
      </c>
    </row>
    <row r="382" spans="1:11">
      <c r="A382" s="1">
        <v>45848</v>
      </c>
      <c r="B382">
        <v>226.08999633789</v>
      </c>
      <c r="C382">
        <v>69.769996643066406</v>
      </c>
      <c r="D382">
        <v>501.48001098632801</v>
      </c>
      <c r="E382">
        <v>1250.58996582031</v>
      </c>
      <c r="F382">
        <v>74.620002746582003</v>
      </c>
      <c r="G382">
        <v>164.100006103515</v>
      </c>
      <c r="H382">
        <v>136.08000183105401</v>
      </c>
      <c r="I382">
        <v>95.150001525878906</v>
      </c>
      <c r="J382">
        <v>309.86999511718699</v>
      </c>
      <c r="K382">
        <v>309.82000732421801</v>
      </c>
    </row>
    <row r="383" spans="1:11">
      <c r="A383" s="1">
        <v>45849</v>
      </c>
      <c r="B383">
        <v>226.83999633789</v>
      </c>
      <c r="C383">
        <v>69.870002746582003</v>
      </c>
      <c r="D383">
        <v>503.32000732421801</v>
      </c>
      <c r="E383">
        <v>1245.10998535156</v>
      </c>
      <c r="F383">
        <v>72.629997253417898</v>
      </c>
      <c r="G383">
        <v>164.919998168945</v>
      </c>
      <c r="H383">
        <v>135.259994506835</v>
      </c>
      <c r="I383">
        <v>94.940002441406193</v>
      </c>
      <c r="J383">
        <v>313.510009765625</v>
      </c>
      <c r="K383">
        <v>307.32000732421801</v>
      </c>
    </row>
    <row r="384" spans="1:11">
      <c r="A384" s="1">
        <v>45852</v>
      </c>
      <c r="B384">
        <v>230.509994506835</v>
      </c>
      <c r="C384">
        <v>69.470001220703097</v>
      </c>
      <c r="D384">
        <v>503.01998901367102</v>
      </c>
      <c r="E384">
        <v>1261.94995117187</v>
      </c>
      <c r="F384">
        <v>72.25</v>
      </c>
      <c r="G384">
        <v>164.07000732421801</v>
      </c>
      <c r="H384">
        <v>135.57000732421801</v>
      </c>
      <c r="I384">
        <v>93.419998168945298</v>
      </c>
      <c r="J384">
        <v>316.89999389648398</v>
      </c>
      <c r="K384">
        <v>309.14001464843699</v>
      </c>
    </row>
    <row r="385" spans="1:11">
      <c r="A385" s="1">
        <v>45853</v>
      </c>
      <c r="B385">
        <v>230</v>
      </c>
      <c r="C385">
        <v>69.360000610351506</v>
      </c>
      <c r="D385">
        <v>505.82000732421801</v>
      </c>
      <c r="E385">
        <v>1260.27001953125</v>
      </c>
      <c r="F385">
        <v>71.989997863769503</v>
      </c>
      <c r="G385">
        <v>170.69999694824199</v>
      </c>
      <c r="H385">
        <v>133.80999755859301</v>
      </c>
      <c r="I385">
        <v>92.480003356933594</v>
      </c>
      <c r="J385">
        <v>310.77999877929602</v>
      </c>
      <c r="K385">
        <v>304.39001464843699</v>
      </c>
    </row>
    <row r="386" spans="1:11">
      <c r="A386" s="1">
        <v>45854</v>
      </c>
      <c r="B386">
        <v>229.89999389648401</v>
      </c>
      <c r="C386">
        <v>69.269996643066406</v>
      </c>
      <c r="D386">
        <v>505.61999511718699</v>
      </c>
      <c r="E386">
        <v>1250.31005859375</v>
      </c>
      <c r="F386">
        <v>72.099998474121094</v>
      </c>
      <c r="G386">
        <v>171.36999511718699</v>
      </c>
      <c r="H386">
        <v>135.350006103515</v>
      </c>
      <c r="I386">
        <v>92.510002136230398</v>
      </c>
      <c r="J386">
        <v>321.67001342773398</v>
      </c>
      <c r="K386">
        <v>307.58999633789</v>
      </c>
    </row>
    <row r="387" spans="1:11">
      <c r="A387" s="1">
        <v>45855</v>
      </c>
      <c r="B387">
        <v>231</v>
      </c>
      <c r="C387">
        <v>70.589996337890597</v>
      </c>
      <c r="D387">
        <v>511.70001220703102</v>
      </c>
      <c r="E387">
        <v>1274.17004394531</v>
      </c>
      <c r="F387">
        <v>72.980003356933594</v>
      </c>
      <c r="G387">
        <v>173</v>
      </c>
      <c r="H387">
        <v>145.44000244140599</v>
      </c>
      <c r="I387">
        <v>93.190002441406193</v>
      </c>
      <c r="J387">
        <v>319.41000366210898</v>
      </c>
      <c r="K387">
        <v>306.69000244140602</v>
      </c>
    </row>
    <row r="388" spans="1:11">
      <c r="A388" s="1">
        <v>45856</v>
      </c>
      <c r="B388">
        <v>229.33999633789</v>
      </c>
      <c r="C388">
        <v>69.849998474121094</v>
      </c>
      <c r="D388">
        <v>510.04998779296801</v>
      </c>
      <c r="E388">
        <v>1209.23999023437</v>
      </c>
      <c r="F388">
        <v>72.470001220703097</v>
      </c>
      <c r="G388">
        <v>172.41000366210901</v>
      </c>
      <c r="H388">
        <v>143.24000549316401</v>
      </c>
      <c r="I388">
        <v>93.800003051757798</v>
      </c>
      <c r="J388">
        <v>329.64999389648398</v>
      </c>
      <c r="K388">
        <v>308.27999877929602</v>
      </c>
    </row>
    <row r="389" spans="1:11">
      <c r="A389" s="1">
        <v>45859</v>
      </c>
      <c r="B389">
        <v>229.32000732421801</v>
      </c>
      <c r="C389">
        <v>70.069999694824205</v>
      </c>
      <c r="D389">
        <v>510.05999755859301</v>
      </c>
      <c r="E389">
        <v>1233.27001953125</v>
      </c>
      <c r="F389">
        <v>74.019996643066406</v>
      </c>
      <c r="G389">
        <v>171.38000488281199</v>
      </c>
      <c r="H389">
        <v>141.69999694824199</v>
      </c>
      <c r="I389">
        <v>92.660003662109304</v>
      </c>
      <c r="J389">
        <v>328.489990234375</v>
      </c>
      <c r="K389">
        <v>302.72000122070301</v>
      </c>
    </row>
    <row r="390" spans="1:11">
      <c r="A390" s="1">
        <v>45860</v>
      </c>
      <c r="B390">
        <v>228.47999572753901</v>
      </c>
      <c r="C390">
        <v>69.660003662109304</v>
      </c>
      <c r="D390">
        <v>505.26998901367102</v>
      </c>
      <c r="E390">
        <v>1190.07995605468</v>
      </c>
      <c r="F390">
        <v>75.389999389648395</v>
      </c>
      <c r="G390">
        <v>167.02999877929599</v>
      </c>
      <c r="H390">
        <v>146.03999328613199</v>
      </c>
      <c r="I390">
        <v>96.940002441406193</v>
      </c>
      <c r="J390">
        <v>332.10998535156199</v>
      </c>
      <c r="K390">
        <v>308.64999389648398</v>
      </c>
    </row>
    <row r="391" spans="1:11">
      <c r="A391" s="1">
        <v>45861</v>
      </c>
      <c r="B391">
        <v>233.88000488281199</v>
      </c>
      <c r="C391">
        <v>69.160003662109304</v>
      </c>
      <c r="D391">
        <v>505.86999511718699</v>
      </c>
      <c r="E391">
        <v>1176.78002929687</v>
      </c>
      <c r="F391">
        <v>76.75</v>
      </c>
      <c r="G391">
        <v>170.77999877929599</v>
      </c>
      <c r="H391">
        <v>145.66000366210901</v>
      </c>
      <c r="I391">
        <v>95.919998168945298</v>
      </c>
      <c r="J391">
        <v>332.55999755859301</v>
      </c>
      <c r="K391">
        <v>310.45001220703102</v>
      </c>
    </row>
    <row r="392" spans="1:11">
      <c r="A392" s="1">
        <v>45862</v>
      </c>
      <c r="B392">
        <v>231.27000427246</v>
      </c>
      <c r="C392">
        <v>69.099998474121094</v>
      </c>
      <c r="D392">
        <v>510.88000488281199</v>
      </c>
      <c r="E392">
        <v>1180.76000976562</v>
      </c>
      <c r="F392">
        <v>75.419998168945298</v>
      </c>
      <c r="G392">
        <v>173.74000549316401</v>
      </c>
      <c r="H392">
        <v>144.509994506835</v>
      </c>
      <c r="I392">
        <v>93.699996948242102</v>
      </c>
      <c r="J392">
        <v>305.29998779296801</v>
      </c>
      <c r="K392">
        <v>308.73001098632801</v>
      </c>
    </row>
    <row r="393" spans="1:11">
      <c r="A393" s="1">
        <v>45863</v>
      </c>
      <c r="B393">
        <v>233.05999755859301</v>
      </c>
      <c r="C393">
        <v>69.169998168945298</v>
      </c>
      <c r="D393">
        <v>513.71002197265602</v>
      </c>
      <c r="E393">
        <v>1180.48999023437</v>
      </c>
      <c r="F393">
        <v>76.269996643066406</v>
      </c>
      <c r="G393">
        <v>173.5</v>
      </c>
      <c r="H393">
        <v>143.44999694824199</v>
      </c>
      <c r="I393">
        <v>94.419998168945298</v>
      </c>
      <c r="J393">
        <v>316.05999755859301</v>
      </c>
      <c r="K393">
        <v>313.10998535156199</v>
      </c>
    </row>
    <row r="394" spans="1:11">
      <c r="A394" s="1">
        <v>45866</v>
      </c>
      <c r="B394">
        <v>236.41000366210901</v>
      </c>
      <c r="C394">
        <v>68.089996337890597</v>
      </c>
      <c r="D394">
        <v>512.5</v>
      </c>
      <c r="E394">
        <v>1174.59997558593</v>
      </c>
      <c r="F394">
        <v>79.239997863769503</v>
      </c>
      <c r="G394">
        <v>176.75</v>
      </c>
      <c r="H394">
        <v>141.57000732421801</v>
      </c>
      <c r="I394">
        <v>93.669998168945298</v>
      </c>
      <c r="J394">
        <v>325.58999633789</v>
      </c>
      <c r="K394">
        <v>309.350006103515</v>
      </c>
    </row>
    <row r="395" spans="1:11">
      <c r="A395" s="1">
        <v>45867</v>
      </c>
      <c r="B395">
        <v>226.08000183105401</v>
      </c>
      <c r="C395">
        <v>69.379997253417898</v>
      </c>
      <c r="D395">
        <v>512.57000732421795</v>
      </c>
      <c r="E395">
        <v>1168.73999023437</v>
      </c>
      <c r="F395">
        <v>78.330001831054602</v>
      </c>
      <c r="G395">
        <v>175.509994506835</v>
      </c>
      <c r="H395">
        <v>143.88999938964801</v>
      </c>
      <c r="I395">
        <v>92.959999084472599</v>
      </c>
      <c r="J395">
        <v>321.20001220703102</v>
      </c>
      <c r="K395">
        <v>302.29998779296801</v>
      </c>
    </row>
    <row r="396" spans="1:11">
      <c r="A396" s="1">
        <v>45868</v>
      </c>
      <c r="B396">
        <v>225.83999633789</v>
      </c>
      <c r="C396">
        <v>68.75</v>
      </c>
      <c r="D396">
        <v>513.239990234375</v>
      </c>
      <c r="E396">
        <v>1184.19995117187</v>
      </c>
      <c r="F396">
        <v>76.680000305175696</v>
      </c>
      <c r="G396">
        <v>179.27000427246</v>
      </c>
      <c r="H396">
        <v>142.86000061035099</v>
      </c>
      <c r="I396">
        <v>92.760002136230398</v>
      </c>
      <c r="J396">
        <v>319.04000854492102</v>
      </c>
      <c r="K396">
        <v>301.829986572265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EA524-2186-49C8-924E-26A14825AD34}">
  <sheetPr codeName="Tabelle2"/>
  <dimension ref="A1:K801"/>
  <sheetViews>
    <sheetView workbookViewId="0">
      <selection activeCell="D17" sqref="D17"/>
    </sheetView>
  </sheetViews>
  <sheetFormatPr baseColWidth="10" defaultRowHeight="15"/>
  <cols>
    <col min="2" max="2" width="12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s="1">
        <v>45293</v>
      </c>
    </row>
    <row r="3" spans="1:11">
      <c r="A3" s="1">
        <v>45294</v>
      </c>
      <c r="B3">
        <f>(Datenabzug!B3/Datenabzug!B2-1)</f>
        <v>-3.1180453670183406E-2</v>
      </c>
      <c r="C3">
        <f>(Datenabzug!C3/Datenabzug!C2-1)</f>
        <v>2.3403516101274668E-3</v>
      </c>
      <c r="D3">
        <f>(Datenabzug!D3/Datenabzug!D2-1)</f>
        <v>-7.2801305696434948E-4</v>
      </c>
      <c r="E3">
        <f>(Datenabzug!E3/Datenabzug!E2-1)</f>
        <v>3.7566910685697952E-3</v>
      </c>
      <c r="F3">
        <f>(Datenabzug!F3/Datenabzug!F2-1)</f>
        <v>-2.3557151981731916E-2</v>
      </c>
      <c r="G3">
        <f>(Datenabzug!G3/Datenabzug!G2-1)</f>
        <v>-1.2435689251573456E-2</v>
      </c>
      <c r="H3">
        <f>(Datenabzug!H3/Datenabzug!H2-1)</f>
        <v>2.3128687179707619E-4</v>
      </c>
      <c r="I3">
        <f>(Datenabzug!I3/Datenabzug!I2-1)</f>
        <v>-4.6971339097380271E-3</v>
      </c>
      <c r="J3">
        <f>(Datenabzug!J3/Datenabzug!J2-1)</f>
        <v>-4.0133649843772323E-2</v>
      </c>
      <c r="K3">
        <f>(Datenabzug!K3/Datenabzug!K2-1)</f>
        <v>2.8339451509515889E-3</v>
      </c>
    </row>
    <row r="4" spans="1:11">
      <c r="A4" s="1">
        <v>45295</v>
      </c>
      <c r="B4">
        <f>(Datenabzug!B4/Datenabzug!B3-1)</f>
        <v>4.2228640229280412E-3</v>
      </c>
      <c r="C4">
        <f>(Datenabzug!C4/Datenabzug!C3-1)</f>
        <v>-3.3355055637329656E-3</v>
      </c>
      <c r="D4">
        <f>(Datenabzug!D4/Datenabzug!D3-1)</f>
        <v>-7.1776686609744678E-3</v>
      </c>
      <c r="E4">
        <f>(Datenabzug!E4/Datenabzug!E3-1)</f>
        <v>9.3777986018988013E-3</v>
      </c>
      <c r="F4">
        <f>(Datenabzug!F4/Datenabzug!F3-1)</f>
        <v>-1.6724325695740561E-2</v>
      </c>
      <c r="G4">
        <f>(Datenabzug!G4/Datenabzug!G3-1)</f>
        <v>9.0185793436983186E-3</v>
      </c>
      <c r="H4">
        <f>(Datenabzug!H4/Datenabzug!H3-1)</f>
        <v>-8.5573998817440877E-3</v>
      </c>
      <c r="I4">
        <f>(Datenabzug!I4/Datenabzug!I3-1)</f>
        <v>3.4324585791192241E-3</v>
      </c>
      <c r="J4">
        <f>(Datenabzug!J4/Datenabzug!J3-1)</f>
        <v>-2.1807686270336468E-3</v>
      </c>
      <c r="K4">
        <f>(Datenabzug!K4/Datenabzug!K3-1)</f>
        <v>-4.7375957984713279E-3</v>
      </c>
    </row>
    <row r="5" spans="1:11">
      <c r="A5" s="1">
        <v>45296</v>
      </c>
      <c r="B5">
        <f>(Datenabzug!B5/Datenabzug!B4-1)</f>
        <v>1.6575477742004407E-2</v>
      </c>
      <c r="C5">
        <f>(Datenabzug!C5/Datenabzug!C4-1)</f>
        <v>-1.5060508325176469E-3</v>
      </c>
      <c r="D5">
        <f>(Datenabzug!D5/Datenabzug!D4-1)</f>
        <v>-5.1630127970481166E-4</v>
      </c>
      <c r="E5">
        <f>(Datenabzug!E5/Datenabzug!E4-1)</f>
        <v>-1.2851367305380945E-3</v>
      </c>
      <c r="F5">
        <f>(Datenabzug!F5/Datenabzug!F4-1)</f>
        <v>-2.1505714697958034E-3</v>
      </c>
      <c r="G5">
        <f>(Datenabzug!G5/Datenabzug!G4-1)</f>
        <v>2.2896778677486074E-2</v>
      </c>
      <c r="H5">
        <f>(Datenabzug!H5/Datenabzug!H4-1)</f>
        <v>-1.4754792720105159E-2</v>
      </c>
      <c r="I5">
        <f>(Datenabzug!I5/Datenabzug!I4-1)</f>
        <v>-5.986276123287837E-3</v>
      </c>
      <c r="J5">
        <f>(Datenabzug!J5/Datenabzug!J4-1)</f>
        <v>-1.8492295892117427E-3</v>
      </c>
      <c r="K5">
        <f>(Datenabzug!K5/Datenabzug!K4-1)</f>
        <v>-2.5888885471901935E-3</v>
      </c>
    </row>
    <row r="6" spans="1:11">
      <c r="A6" s="1">
        <v>45299</v>
      </c>
      <c r="B6">
        <f>(Datenabzug!B6/Datenabzug!B5-1)</f>
        <v>-8.0321285140562249E-2</v>
      </c>
      <c r="C6">
        <f>(Datenabzug!C6/Datenabzug!C5-1)</f>
        <v>7.3738425901161975E-3</v>
      </c>
      <c r="D6">
        <f>(Datenabzug!D6/Datenabzug!D5-1)</f>
        <v>1.8871558706754943E-2</v>
      </c>
      <c r="E6">
        <f>(Datenabzug!E6/Datenabzug!E5-1)</f>
        <v>2.3140533428676724E-2</v>
      </c>
      <c r="F6">
        <f>(Datenabzug!F6/Datenabzug!F5-1)</f>
        <v>1.5086290938320257E-2</v>
      </c>
      <c r="G6">
        <f>(Datenabzug!G6/Datenabzug!G5-1)</f>
        <v>6.4280799974564928E-2</v>
      </c>
      <c r="H6">
        <f>(Datenabzug!H6/Datenabzug!H5-1)</f>
        <v>1.0063062173208959E-3</v>
      </c>
      <c r="I6">
        <f>(Datenabzug!I6/Datenabzug!I5-1)</f>
        <v>1.2904707299611573E-2</v>
      </c>
      <c r="J6">
        <f>(Datenabzug!J6/Datenabzug!J5-1)</f>
        <v>1.246364641295683E-2</v>
      </c>
      <c r="K6">
        <f>(Datenabzug!K6/Datenabzug!K5-1)</f>
        <v>1.3815143487643455E-2</v>
      </c>
    </row>
    <row r="7" spans="1:11">
      <c r="A7" s="1">
        <v>45300</v>
      </c>
      <c r="B7">
        <f>(Datenabzug!B7/Datenabzug!B6-1)</f>
        <v>-1.4148495603340638E-2</v>
      </c>
      <c r="C7">
        <f>(Datenabzug!C7/Datenabzug!C6-1)</f>
        <v>-1.8299004094671778E-3</v>
      </c>
      <c r="D7">
        <f>(Datenabzug!D7/Datenabzug!D6-1)</f>
        <v>2.9357406406587128E-3</v>
      </c>
      <c r="E7">
        <f>(Datenabzug!E7/Datenabzug!E6-1)</f>
        <v>-6.0614857819213386E-3</v>
      </c>
      <c r="F7">
        <f>(Datenabzug!F7/Datenabzug!F6-1)</f>
        <v>-8.4925506626712943E-3</v>
      </c>
      <c r="G7">
        <f>(Datenabzug!G7/Datenabzug!G6-1)</f>
        <v>1.6975300977612573E-2</v>
      </c>
      <c r="H7">
        <f>(Datenabzug!H7/Datenabzug!H6-1)</f>
        <v>-1.147185004215312E-2</v>
      </c>
      <c r="I7">
        <f>(Datenabzug!I7/Datenabzug!I6-1)</f>
        <v>-1.167871823498623E-2</v>
      </c>
      <c r="J7">
        <f>(Datenabzug!J7/Datenabzug!J6-1)</f>
        <v>-2.2832149320246131E-2</v>
      </c>
      <c r="K7">
        <f>(Datenabzug!K7/Datenabzug!K6-1)</f>
        <v>-9.4975130663363938E-3</v>
      </c>
    </row>
    <row r="8" spans="1:11">
      <c r="A8" s="1">
        <v>45301</v>
      </c>
      <c r="B8">
        <f>(Datenabzug!B8/Datenabzug!B7-1)</f>
        <v>9.2133322185743438E-3</v>
      </c>
      <c r="C8">
        <f>(Datenabzug!C8/Datenabzug!C7-1)</f>
        <v>3.3332817060771625E-3</v>
      </c>
      <c r="D8">
        <f>(Datenabzug!D8/Datenabzug!D7-1)</f>
        <v>1.8574080110699498E-2</v>
      </c>
      <c r="E8">
        <f>(Datenabzug!E8/Datenabzug!E7-1)</f>
        <v>-7.7993938770504201E-3</v>
      </c>
      <c r="F8">
        <f>(Datenabzug!F8/Datenabzug!F7-1)</f>
        <v>1.0025217028603262E-2</v>
      </c>
      <c r="G8">
        <f>(Datenabzug!G8/Datenabzug!G7-1)</f>
        <v>2.2769956945986491E-2</v>
      </c>
      <c r="H8">
        <f>(Datenabzug!H8/Datenabzug!H7-1)</f>
        <v>-1.4953217872102353E-3</v>
      </c>
      <c r="I8">
        <f>(Datenabzug!I8/Datenabzug!I7-1)</f>
        <v>4.4043752380902301E-3</v>
      </c>
      <c r="J8">
        <f>(Datenabzug!J8/Datenabzug!J7-1)</f>
        <v>-4.3411825132569914E-3</v>
      </c>
      <c r="K8">
        <f>(Datenabzug!K8/Datenabzug!K7-1)</f>
        <v>2.3220980624359067E-2</v>
      </c>
    </row>
    <row r="9" spans="1:11">
      <c r="A9" s="1">
        <v>45302</v>
      </c>
      <c r="B9">
        <f>(Datenabzug!B9/Datenabzug!B8-1)</f>
        <v>-2.2735221028089336E-2</v>
      </c>
      <c r="C9">
        <f>(Datenabzug!C9/Datenabzug!C8-1)</f>
        <v>-6.4782556212518161E-3</v>
      </c>
      <c r="D9">
        <f>(Datenabzug!D9/Datenabzug!D8-1)</f>
        <v>4.859525155525013E-3</v>
      </c>
      <c r="E9">
        <f>(Datenabzug!E9/Datenabzug!E8-1)</f>
        <v>2.9059487810227491E-2</v>
      </c>
      <c r="F9">
        <f>(Datenabzug!F9/Datenabzug!F8-1)</f>
        <v>2.0526167174658827E-2</v>
      </c>
      <c r="G9">
        <f>(Datenabzug!G9/Datenabzug!G8-1)</f>
        <v>8.684457456466621E-3</v>
      </c>
      <c r="H9">
        <f>(Datenabzug!H9/Datenabzug!H8-1)</f>
        <v>-4.7329435928310515E-3</v>
      </c>
      <c r="I9">
        <f>(Datenabzug!I9/Datenabzug!I8-1)</f>
        <v>-5.9892244823218643E-3</v>
      </c>
      <c r="J9">
        <f>(Datenabzug!J9/Datenabzug!J8-1)</f>
        <v>-2.8725319101362778E-2</v>
      </c>
      <c r="K9">
        <f>(Datenabzug!K9/Datenabzug!K8-1)</f>
        <v>6.6411283131673216E-3</v>
      </c>
    </row>
    <row r="10" spans="1:11">
      <c r="A10" s="1">
        <v>45303</v>
      </c>
      <c r="B10">
        <f>(Datenabzug!B10/Datenabzug!B9-1)</f>
        <v>-2.2276145838001193E-2</v>
      </c>
      <c r="C10">
        <f>(Datenabzug!C10/Datenabzug!C9-1)</f>
        <v>9.6971905221183707E-3</v>
      </c>
      <c r="D10">
        <f>(Datenabzug!D10/Datenabzug!D9-1)</f>
        <v>9.9834730851031672E-3</v>
      </c>
      <c r="E10">
        <f>(Datenabzug!E10/Datenabzug!E9-1)</f>
        <v>-1.4222481900028061E-4</v>
      </c>
      <c r="F10">
        <f>(Datenabzug!F10/Datenabzug!F9-1)</f>
        <v>-7.9320419113790841E-3</v>
      </c>
      <c r="G10">
        <f>(Datenabzug!G10/Datenabzug!G9-1)</f>
        <v>-2.0431099044009304E-3</v>
      </c>
      <c r="H10">
        <f>(Datenabzug!H10/Datenabzug!H9-1)</f>
        <v>6.8623353576595658E-3</v>
      </c>
      <c r="I10">
        <f>(Datenabzug!I10/Datenabzug!I9-1)</f>
        <v>-1.032925150110342E-2</v>
      </c>
      <c r="J10">
        <f>(Datenabzug!J10/Datenabzug!J9-1)</f>
        <v>-3.6660513098773828E-2</v>
      </c>
      <c r="K10">
        <f>(Datenabzug!K10/Datenabzug!K9-1)</f>
        <v>5.3829897022310558E-3</v>
      </c>
    </row>
    <row r="11" spans="1:11">
      <c r="A11" s="1">
        <v>45307</v>
      </c>
      <c r="B11">
        <f>(Datenabzug!B11/Datenabzug!B10-1)</f>
        <v>-7.8915906828728732E-2</v>
      </c>
      <c r="C11">
        <f>(Datenabzug!C11/Datenabzug!C10-1)</f>
        <v>-6.6235111464395535E-3</v>
      </c>
      <c r="D11">
        <f>(Datenabzug!D11/Datenabzug!D10-1)</f>
        <v>4.6336907821415974E-3</v>
      </c>
      <c r="E11">
        <f>(Datenabzug!E11/Datenabzug!E10-1)</f>
        <v>-2.2187933490083189E-2</v>
      </c>
      <c r="F11">
        <f>(Datenabzug!F11/Datenabzug!F10-1)</f>
        <v>-3.1791356309537888E-2</v>
      </c>
      <c r="G11">
        <f>(Datenabzug!G11/Datenabzug!G10-1)</f>
        <v>3.0561297510232732E-2</v>
      </c>
      <c r="H11">
        <f>(Datenabzug!H11/Datenabzug!H10-1)</f>
        <v>-6.57638330316479E-3</v>
      </c>
      <c r="I11">
        <f>(Datenabzug!I11/Datenabzug!I10-1)</f>
        <v>7.8277938774868883E-3</v>
      </c>
      <c r="J11">
        <f>(Datenabzug!J11/Datenabzug!J10-1)</f>
        <v>4.6598943547222493E-3</v>
      </c>
      <c r="K11">
        <f>(Datenabzug!K11/Datenabzug!K10-1)</f>
        <v>-1.0507230738726836E-2</v>
      </c>
    </row>
    <row r="12" spans="1:11">
      <c r="A12" s="1">
        <v>45308</v>
      </c>
      <c r="B12">
        <f>(Datenabzug!B12/Datenabzug!B11-1)</f>
        <v>1.266703187718754E-2</v>
      </c>
      <c r="C12">
        <f>(Datenabzug!C12/Datenabzug!C11-1)</f>
        <v>0</v>
      </c>
      <c r="D12">
        <f>(Datenabzug!D12/Datenabzug!D11-1)</f>
        <v>-2.0500073033803412E-3</v>
      </c>
      <c r="E12">
        <f>(Datenabzug!E12/Datenabzug!E11-1)</f>
        <v>-1.8909560314528395E-3</v>
      </c>
      <c r="F12">
        <f>(Datenabzug!F12/Datenabzug!F11-1)</f>
        <v>-8.8477747262654116E-3</v>
      </c>
      <c r="G12">
        <f>(Datenabzug!G12/Datenabzug!G11-1)</f>
        <v>-5.8351945889543178E-3</v>
      </c>
      <c r="H12">
        <f>(Datenabzug!H12/Datenabzug!H11-1)</f>
        <v>1.6248477701978903E-3</v>
      </c>
      <c r="I12">
        <f>(Datenabzug!I12/Datenabzug!I11-1)</f>
        <v>-1.0032443924271162E-2</v>
      </c>
      <c r="J12">
        <f>(Datenabzug!J12/Datenabzug!J11-1)</f>
        <v>-1.9826295019535145E-2</v>
      </c>
      <c r="K12">
        <f>(Datenabzug!K12/Datenabzug!K11-1)</f>
        <v>5.207781834527303E-3</v>
      </c>
    </row>
    <row r="13" spans="1:11">
      <c r="A13" s="1">
        <v>45309</v>
      </c>
      <c r="B13">
        <f>(Datenabzug!B13/Datenabzug!B12-1)</f>
        <v>4.2105797077491181E-2</v>
      </c>
      <c r="C13">
        <f>(Datenabzug!C13/Datenabzug!C12-1)</f>
        <v>2.8337450683868504E-3</v>
      </c>
      <c r="D13">
        <f>(Datenabzug!D13/Datenabzug!D12-1)</f>
        <v>1.129740910289545E-2</v>
      </c>
      <c r="E13">
        <f>(Datenabzug!E13/Datenabzug!E12-1)</f>
        <v>1.0367895250235071E-2</v>
      </c>
      <c r="F13">
        <f>(Datenabzug!F13/Datenabzug!F12-1)</f>
        <v>1.1903224796590006E-3</v>
      </c>
      <c r="G13">
        <f>(Datenabzug!G13/Datenabzug!G12-1)</f>
        <v>1.8803640284863921E-2</v>
      </c>
      <c r="H13">
        <f>(Datenabzug!H13/Datenabzug!H12-1)</f>
        <v>4.3858874606961251E-3</v>
      </c>
      <c r="I13">
        <f>(Datenabzug!I13/Datenabzug!I12-1)</f>
        <v>1.710798930792734E-2</v>
      </c>
      <c r="J13">
        <f>(Datenabzug!J13/Datenabzug!J12-1)</f>
        <v>-1.7026203279912666E-2</v>
      </c>
      <c r="K13">
        <f>(Datenabzug!K13/Datenabzug!K12-1)</f>
        <v>2.8331524748592685E-3</v>
      </c>
    </row>
    <row r="14" spans="1:11">
      <c r="A14" s="1">
        <v>45310</v>
      </c>
      <c r="B14">
        <f>(Datenabzug!B14/Datenabzug!B13-1)</f>
        <v>1.6114567611518638E-2</v>
      </c>
      <c r="C14">
        <f>(Datenabzug!C14/Datenabzug!C13-1)</f>
        <v>-5.4853373300141062E-3</v>
      </c>
      <c r="D14">
        <f>(Datenabzug!D14/Datenabzug!D13-1)</f>
        <v>1.2186760273422692E-2</v>
      </c>
      <c r="E14">
        <f>(Datenabzug!E14/Datenabzug!E13-1)</f>
        <v>-4.8628409953105356E-3</v>
      </c>
      <c r="F14">
        <f>(Datenabzug!F14/Datenabzug!F13-1)</f>
        <v>8.3217288151067326E-3</v>
      </c>
      <c r="G14">
        <f>(Datenabzug!G14/Datenabzug!G13-1)</f>
        <v>4.1746106668589578E-2</v>
      </c>
      <c r="H14">
        <f>(Datenabzug!H14/Datenabzug!H13-1)</f>
        <v>-8.3148691900875038E-3</v>
      </c>
      <c r="I14">
        <f>(Datenabzug!I14/Datenabzug!I13-1)</f>
        <v>5.5710772393922081E-3</v>
      </c>
      <c r="J14">
        <f>(Datenabzug!J14/Datenabzug!J13-1)</f>
        <v>1.463080760100377E-3</v>
      </c>
      <c r="K14">
        <f>(Datenabzug!K14/Datenabzug!K13-1)</f>
        <v>1.2067616681607829E-2</v>
      </c>
    </row>
    <row r="15" spans="1:11">
      <c r="A15" s="1">
        <v>45313</v>
      </c>
      <c r="B15">
        <f>(Datenabzug!B15/Datenabzug!B14-1)</f>
        <v>-4.1861963952405379E-4</v>
      </c>
      <c r="C15">
        <f>(Datenabzug!C15/Datenabzug!C14-1)</f>
        <v>-4.3456787094875438E-3</v>
      </c>
      <c r="D15">
        <f>(Datenabzug!D15/Datenabzug!D14-1)</f>
        <v>-5.4178244116110941E-3</v>
      </c>
      <c r="E15">
        <f>(Datenabzug!E15/Datenabzug!E14-1)</f>
        <v>5.7148342028903176E-3</v>
      </c>
      <c r="F15">
        <f>(Datenabzug!F15/Datenabzug!F14-1)</f>
        <v>-1.1986580608531971E-2</v>
      </c>
      <c r="G15">
        <f>(Datenabzug!G15/Datenabzug!G14-1)</f>
        <v>2.7399446673719297E-3</v>
      </c>
      <c r="H15">
        <f>(Datenabzug!H15/Datenabzug!H14-1)</f>
        <v>-4.0414973303877222E-3</v>
      </c>
      <c r="I15">
        <f>(Datenabzug!I15/Datenabzug!I14-1)</f>
        <v>-8.4166807131871302E-3</v>
      </c>
      <c r="J15">
        <f>(Datenabzug!J15/Datenabzug!J14-1)</f>
        <v>-1.5976244642275872E-2</v>
      </c>
      <c r="K15">
        <f>(Datenabzug!K15/Datenabzug!K14-1)</f>
        <v>-6.6198238051462521E-3</v>
      </c>
    </row>
    <row r="16" spans="1:11">
      <c r="A16" s="1">
        <v>45314</v>
      </c>
      <c r="B16">
        <f>(Datenabzug!B16/Datenabzug!B15-1)</f>
        <v>-1.5958650689366971E-2</v>
      </c>
      <c r="C16">
        <f>(Datenabzug!C16/Datenabzug!C15-1)</f>
        <v>4.7003468618178612E-3</v>
      </c>
      <c r="D16">
        <f>(Datenabzug!D16/Datenabzug!D15-1)</f>
        <v>6.0273942320119289E-3</v>
      </c>
      <c r="E16">
        <f>(Datenabzug!E16/Datenabzug!E15-1)</f>
        <v>1.3341317041709155E-2</v>
      </c>
      <c r="F16">
        <f>(Datenabzug!F16/Datenabzug!F15-1)</f>
        <v>1.3325401797509961E-2</v>
      </c>
      <c r="G16">
        <f>(Datenabzug!G16/Datenabzug!G15-1)</f>
        <v>3.6712344752236614E-3</v>
      </c>
      <c r="H16">
        <f>(Datenabzug!H16/Datenabzug!H15-1)</f>
        <v>1.5323143973544839E-2</v>
      </c>
      <c r="I16">
        <f>(Datenabzug!I16/Datenabzug!I15-1)</f>
        <v>-1.1819259462897858E-2</v>
      </c>
      <c r="J16">
        <f>(Datenabzug!J16/Datenabzug!J15-1)</f>
        <v>1.6283349277861348E-3</v>
      </c>
      <c r="K16">
        <f>(Datenabzug!K16/Datenabzug!K15-1)</f>
        <v>7.5872981853064569E-3</v>
      </c>
    </row>
    <row r="17" spans="1:11">
      <c r="A17" s="1">
        <v>45315</v>
      </c>
      <c r="B17">
        <f>(Datenabzug!B17/Datenabzug!B16-1)</f>
        <v>1.2435011266250573E-2</v>
      </c>
      <c r="C17">
        <f>(Datenabzug!C17/Datenabzug!C16-1)</f>
        <v>-1.5705922175902387E-2</v>
      </c>
      <c r="D17">
        <f>(Datenabzug!D17/Datenabzug!D16-1)</f>
        <v>9.1753262906060229E-3</v>
      </c>
      <c r="E17">
        <f>(Datenabzug!E17/Datenabzug!E16-1)</f>
        <v>0.10703182188681781</v>
      </c>
      <c r="F17">
        <f>(Datenabzug!F17/Datenabzug!F16-1)</f>
        <v>-1.1187480328217592E-2</v>
      </c>
      <c r="G17">
        <f>(Datenabzug!G17/Datenabzug!G16-1)</f>
        <v>2.4869191293141801E-2</v>
      </c>
      <c r="H17">
        <f>(Datenabzug!H17/Datenabzug!H16-1)</f>
        <v>-1.2168838308264762E-2</v>
      </c>
      <c r="I17">
        <f>(Datenabzug!I17/Datenabzug!I16-1)</f>
        <v>7.6125840245500065E-4</v>
      </c>
      <c r="J17">
        <f>(Datenabzug!J17/Datenabzug!J16-1)</f>
        <v>-6.2637351172281086E-3</v>
      </c>
      <c r="K17">
        <f>(Datenabzug!K17/Datenabzug!K16-1)</f>
        <v>0</v>
      </c>
    </row>
    <row r="18" spans="1:11">
      <c r="A18" s="1">
        <v>45316</v>
      </c>
      <c r="B18">
        <f>(Datenabzug!B18/Datenabzug!B17-1)</f>
        <v>-5.7208236681749125E-2</v>
      </c>
      <c r="C18">
        <f>(Datenabzug!C18/Datenabzug!C17-1)</f>
        <v>4.2436791651008221E-3</v>
      </c>
      <c r="D18">
        <f>(Datenabzug!D18/Datenabzug!D17-1)</f>
        <v>5.7382367641398702E-3</v>
      </c>
      <c r="E18">
        <f>(Datenabzug!E18/Datenabzug!E17-1)</f>
        <v>3.1438701041206718E-2</v>
      </c>
      <c r="F18">
        <f>(Datenabzug!F18/Datenabzug!F17-1)</f>
        <v>9.9116236931040547E-5</v>
      </c>
      <c r="G18">
        <f>(Datenabzug!G18/Datenabzug!G17-1)</f>
        <v>4.1557297174785734E-3</v>
      </c>
      <c r="H18">
        <f>(Datenabzug!H18/Datenabzug!H17-1)</f>
        <v>5.7968844243645457E-3</v>
      </c>
      <c r="I18">
        <f>(Datenabzug!I18/Datenabzug!I17-1)</f>
        <v>6.1929097590436299E-3</v>
      </c>
      <c r="J18">
        <f>(Datenabzug!J18/Datenabzug!J17-1)</f>
        <v>-0.12125293136804771</v>
      </c>
      <c r="K18">
        <f>(Datenabzug!K18/Datenabzug!K17-1)</f>
        <v>-1.0758173918523628E-3</v>
      </c>
    </row>
    <row r="19" spans="1:11">
      <c r="A19" s="1">
        <v>45317</v>
      </c>
      <c r="B19">
        <f>(Datenabzug!B19/Datenabzug!B18-1)</f>
        <v>1.7782822721720049E-2</v>
      </c>
      <c r="C19">
        <f>(Datenabzug!C19/Datenabzug!C18-1)</f>
        <v>3.5497591571937992E-3</v>
      </c>
      <c r="D19">
        <f>(Datenabzug!D19/Datenabzug!D18-1)</f>
        <v>-2.3217937356465601E-3</v>
      </c>
      <c r="E19">
        <f>(Datenabzug!E19/Datenabzug!E18-1)</f>
        <v>1.4982175996718805E-2</v>
      </c>
      <c r="F19">
        <f>(Datenabzug!F19/Datenabzug!F18-1)</f>
        <v>1.9648781517027647E-2</v>
      </c>
      <c r="G19">
        <f>(Datenabzug!G19/Datenabzug!G18-1)</f>
        <v>-9.5103590868500509E-3</v>
      </c>
      <c r="H19">
        <f>(Datenabzug!H19/Datenabzug!H18-1)</f>
        <v>7.8052310206246922E-3</v>
      </c>
      <c r="I19">
        <f>(Datenabzug!I19/Datenabzug!I18-1)</f>
        <v>2.0517120095417951E-3</v>
      </c>
      <c r="J19">
        <f>(Datenabzug!J19/Datenabzug!J18-1)</f>
        <v>3.3948152034812829E-3</v>
      </c>
      <c r="K19">
        <f>(Datenabzug!K19/Datenabzug!K18-1)</f>
        <v>-4.945673692875685E-3</v>
      </c>
    </row>
    <row r="20" spans="1:11">
      <c r="A20" s="1">
        <v>45320</v>
      </c>
      <c r="B20">
        <f>(Datenabzug!B20/Datenabzug!B19-1)</f>
        <v>-1.3627234030930691E-3</v>
      </c>
      <c r="C20">
        <f>(Datenabzug!C20/Datenabzug!C19-1)</f>
        <v>6.0636421098194671E-3</v>
      </c>
      <c r="D20">
        <f>(Datenabzug!D20/Datenabzug!D19-1)</f>
        <v>1.4334225436981374E-2</v>
      </c>
      <c r="E20">
        <f>(Datenabzug!E20/Datenabzug!E19-1)</f>
        <v>9.414107636605662E-3</v>
      </c>
      <c r="F20">
        <f>(Datenabzug!F20/Datenabzug!F19-1)</f>
        <v>1.0997583456698434E-2</v>
      </c>
      <c r="G20">
        <f>(Datenabzug!G20/Datenabzug!G19-1)</f>
        <v>2.3496175601062541E-2</v>
      </c>
      <c r="H20">
        <f>(Datenabzug!H20/Datenabzug!H19-1)</f>
        <v>1.7274199451247085E-3</v>
      </c>
      <c r="I20">
        <f>(Datenabzug!I20/Datenabzug!I19-1)</f>
        <v>1.0775740392810595E-2</v>
      </c>
      <c r="J20">
        <f>(Datenabzug!J20/Datenabzug!J19-1)</f>
        <v>4.1909919103852555E-2</v>
      </c>
      <c r="K20">
        <f>(Datenabzug!K20/Datenabzug!K19-1)</f>
        <v>-1.2185386280792909E-2</v>
      </c>
    </row>
    <row r="21" spans="1:11">
      <c r="A21" s="1">
        <v>45321</v>
      </c>
      <c r="B21">
        <f>(Datenabzug!B21/Datenabzug!B20-1)</f>
        <v>-2.3149276005084207E-2</v>
      </c>
      <c r="C21">
        <f>(Datenabzug!C21/Datenabzug!C20-1)</f>
        <v>2.8462139678482323E-3</v>
      </c>
      <c r="D21">
        <f>(Datenabzug!D21/Datenabzug!D20-1)</f>
        <v>-2.7579627775978777E-3</v>
      </c>
      <c r="E21">
        <f>(Datenabzug!E21/Datenabzug!E20-1)</f>
        <v>-2.2473476328536246E-2</v>
      </c>
      <c r="F21">
        <f>(Datenabzug!F21/Datenabzug!F20-1)</f>
        <v>2.8879586183814254E-3</v>
      </c>
      <c r="G21">
        <f>(Datenabzug!G21/Datenabzug!G20-1)</f>
        <v>4.9468643424726011E-3</v>
      </c>
      <c r="H21">
        <f>(Datenabzug!H21/Datenabzug!H20-1)</f>
        <v>8.7422688368705703E-3</v>
      </c>
      <c r="I21">
        <f>(Datenabzug!I21/Datenabzug!I20-1)</f>
        <v>2.9852880260441417E-3</v>
      </c>
      <c r="J21">
        <f>(Datenabzug!J21/Datenabzug!J20-1)</f>
        <v>3.4567835721324158E-3</v>
      </c>
      <c r="K21">
        <f>(Datenabzug!K21/Datenabzug!K20-1)</f>
        <v>5.4374183662171394E-3</v>
      </c>
    </row>
    <row r="22" spans="1:11">
      <c r="A22" s="1">
        <v>45322</v>
      </c>
      <c r="B22">
        <f>(Datenabzug!B22/Datenabzug!B21-1)</f>
        <v>5.2883609636876994E-2</v>
      </c>
      <c r="C22">
        <f>(Datenabzug!C22/Datenabzug!C21-1)</f>
        <v>-6.8446852115964241E-3</v>
      </c>
      <c r="D22">
        <f>(Datenabzug!D22/Datenabzug!D21-1)</f>
        <v>-2.6946299569042265E-2</v>
      </c>
      <c r="E22">
        <f>(Datenabzug!E22/Datenabzug!E21-1)</f>
        <v>2.2386245363399393E-3</v>
      </c>
      <c r="F22">
        <f>(Datenabzug!F22/Datenabzug!F21-1)</f>
        <v>-2.5436714979995889E-2</v>
      </c>
      <c r="G22">
        <f>(Datenabzug!G22/Datenabzug!G21-1)</f>
        <v>-1.9864902032451281E-2</v>
      </c>
      <c r="H22">
        <f>(Datenabzug!H22/Datenabzug!H21-1)</f>
        <v>-6.4261870507369423E-3</v>
      </c>
      <c r="I22">
        <f>(Datenabzug!I22/Datenabzug!I21-1)</f>
        <v>-1.1160835771964361E-2</v>
      </c>
      <c r="J22">
        <f>(Datenabzug!J22/Datenabzug!J21-1)</f>
        <v>-2.2443776470325139E-2</v>
      </c>
      <c r="K22">
        <f>(Datenabzug!K22/Datenabzug!K21-1)</f>
        <v>-5.9730196351491793E-3</v>
      </c>
    </row>
    <row r="23" spans="1:11">
      <c r="A23" s="1">
        <v>45323</v>
      </c>
      <c r="B23">
        <f>(Datenabzug!B23/Datenabzug!B22-1)</f>
        <v>-5.8282589398651607E-3</v>
      </c>
      <c r="C23">
        <f>(Datenabzug!C23/Datenabzug!C22-1)</f>
        <v>2.5046088519723897E-2</v>
      </c>
      <c r="D23">
        <f>(Datenabzug!D23/Datenabzug!D22-1)</f>
        <v>1.5594319311505567E-2</v>
      </c>
      <c r="E23">
        <f>(Datenabzug!E23/Datenabzug!E22-1)</f>
        <v>6.0272367133229476E-3</v>
      </c>
      <c r="F23">
        <f>(Datenabzug!F23/Datenabzug!F22-1)</f>
        <v>2.2653230420714987E-3</v>
      </c>
      <c r="G23">
        <f>(Datenabzug!G23/Datenabzug!G22-1)</f>
        <v>2.4379534244399981E-2</v>
      </c>
      <c r="H23">
        <f>(Datenabzug!H23/Datenabzug!H22-1)</f>
        <v>1.880971937949294E-2</v>
      </c>
      <c r="I23">
        <f>(Datenabzug!I23/Datenabzug!I22-1)</f>
        <v>3.6547160278397328E-3</v>
      </c>
      <c r="J23">
        <f>(Datenabzug!J23/Datenabzug!J22-1)</f>
        <v>8.3827613887541563E-3</v>
      </c>
      <c r="K23">
        <f>(Datenabzug!K23/Datenabzug!K22-1)</f>
        <v>3.978939981420071E-3</v>
      </c>
    </row>
    <row r="24" spans="1:11">
      <c r="A24" s="1">
        <v>45324</v>
      </c>
      <c r="B24">
        <f>(Datenabzug!B24/Datenabzug!B23-1)</f>
        <v>-2.0494384480460592E-3</v>
      </c>
      <c r="C24">
        <f>(Datenabzug!C24/Datenabzug!C23-1)</f>
        <v>-7.2154347515264172E-3</v>
      </c>
      <c r="D24">
        <f>(Datenabzug!D24/Datenabzug!D23-1)</f>
        <v>1.8425905818580723E-2</v>
      </c>
      <c r="E24">
        <f>(Datenabzug!E24/Datenabzug!E23-1)</f>
        <v>-5.0571709182243296E-3</v>
      </c>
      <c r="F24">
        <f>(Datenabzug!F24/Datenabzug!F23-1)</f>
        <v>-1.0318435236512991E-2</v>
      </c>
      <c r="G24">
        <f>(Datenabzug!G24/Datenabzug!G23-1)</f>
        <v>4.970892473969224E-2</v>
      </c>
      <c r="H24">
        <f>(Datenabzug!H24/Datenabzug!H23-1)</f>
        <v>-4.2516205023684916E-3</v>
      </c>
      <c r="I24">
        <f>(Datenabzug!I24/Datenabzug!I23-1)</f>
        <v>-4.0698535669360103E-3</v>
      </c>
      <c r="J24">
        <f>(Datenabzug!J24/Datenabzug!J23-1)</f>
        <v>-5.0301649114254943E-3</v>
      </c>
      <c r="K24">
        <f>(Datenabzug!K24/Datenabzug!K23-1)</f>
        <v>1.2819417224385843E-2</v>
      </c>
    </row>
    <row r="25" spans="1:11">
      <c r="A25" s="1">
        <v>45327</v>
      </c>
      <c r="B25">
        <f>(Datenabzug!B25/Datenabzug!B24-1)</f>
        <v>-1.3134014403806793E-2</v>
      </c>
      <c r="C25">
        <f>(Datenabzug!C25/Datenabzug!C24-1)</f>
        <v>-8.2590394203201356E-3</v>
      </c>
      <c r="D25">
        <f>(Datenabzug!D25/Datenabzug!D24-1)</f>
        <v>-1.3545120668059574E-2</v>
      </c>
      <c r="E25">
        <f>(Datenabzug!E25/Datenabzug!E24-1)</f>
        <v>-4.5693132312815132E-3</v>
      </c>
      <c r="F25">
        <f>(Datenabzug!F25/Datenabzug!F24-1)</f>
        <v>-1.0227372658151768E-2</v>
      </c>
      <c r="G25">
        <f>(Datenabzug!G25/Datenabzug!G24-1)</f>
        <v>4.7944321249968169E-2</v>
      </c>
      <c r="H25">
        <f>(Datenabzug!H25/Datenabzug!H24-1)</f>
        <v>-2.9243611590989982E-4</v>
      </c>
      <c r="I25">
        <f>(Datenabzug!I25/Datenabzug!I24-1)</f>
        <v>-5.1617635865065514E-3</v>
      </c>
      <c r="J25">
        <f>(Datenabzug!J25/Datenabzug!J24-1)</f>
        <v>-3.645365318513516E-2</v>
      </c>
      <c r="K25">
        <f>(Datenabzug!K25/Datenabzug!K24-1)</f>
        <v>3.9953978475226748E-5</v>
      </c>
    </row>
    <row r="26" spans="1:11">
      <c r="A26" s="1">
        <v>45328</v>
      </c>
      <c r="B26">
        <f>(Datenabzug!B26/Datenabzug!B25-1)</f>
        <v>9.4371432132904776E-3</v>
      </c>
      <c r="C26">
        <f>(Datenabzug!C26/Datenabzug!C25-1)</f>
        <v>-1.6654974129047817E-3</v>
      </c>
      <c r="D26">
        <f>(Datenabzug!D26/Datenabzug!D25-1)</f>
        <v>-3.9442608379869348E-4</v>
      </c>
      <c r="E26">
        <f>(Datenabzug!E26/Datenabzug!E25-1)</f>
        <v>-1.0995254425906098E-2</v>
      </c>
      <c r="F26">
        <f>(Datenabzug!F26/Datenabzug!F25-1)</f>
        <v>2.9393989111885288E-2</v>
      </c>
      <c r="G26">
        <f>(Datenabzug!G26/Datenabzug!G25-1)</f>
        <v>-1.5995478366019888E-2</v>
      </c>
      <c r="H26">
        <f>(Datenabzug!H26/Datenabzug!H25-1)</f>
        <v>2.9254045335893597E-3</v>
      </c>
      <c r="I26">
        <f>(Datenabzug!I26/Datenabzug!I25-1)</f>
        <v>3.4158360955253819E-2</v>
      </c>
      <c r="J26">
        <f>(Datenabzug!J26/Datenabzug!J25-1)</f>
        <v>2.2313092894053588E-2</v>
      </c>
      <c r="K26">
        <f>(Datenabzug!K26/Datenabzug!K25-1)</f>
        <v>7.1827869255705501E-2</v>
      </c>
    </row>
    <row r="27" spans="1:11">
      <c r="A27" s="1">
        <v>45329</v>
      </c>
      <c r="B27">
        <f>(Datenabzug!B27/Datenabzug!B26-1)</f>
        <v>1.6013022862068738E-2</v>
      </c>
      <c r="C27">
        <f>(Datenabzug!C27/Datenabzug!C26-1)</f>
        <v>8.3420450047166916E-4</v>
      </c>
      <c r="D27">
        <f>(Datenabzug!D27/Datenabzug!D26-1)</f>
        <v>2.1110197981224044E-2</v>
      </c>
      <c r="E27">
        <f>(Datenabzug!E27/Datenabzug!E26-1)</f>
        <v>6.1523761965083246E-3</v>
      </c>
      <c r="F27">
        <f>(Datenabzug!F27/Datenabzug!F26-1)</f>
        <v>1.15000004208341E-2</v>
      </c>
      <c r="G27">
        <f>(Datenabzug!G27/Datenabzug!G26-1)</f>
        <v>2.7497978328395511E-2</v>
      </c>
      <c r="H27">
        <f>(Datenabzug!H27/Datenabzug!H26-1)</f>
        <v>2.9166841171401892E-4</v>
      </c>
      <c r="I27">
        <f>(Datenabzug!I27/Datenabzug!I26-1)</f>
        <v>-3.7628962751981021E-3</v>
      </c>
      <c r="J27">
        <f>(Datenabzug!J27/Datenabzug!J26-1)</f>
        <v>1.3398139631352057E-2</v>
      </c>
      <c r="K27">
        <f>(Datenabzug!K27/Datenabzug!K26-1)</f>
        <v>1.2441630477888488E-2</v>
      </c>
    </row>
    <row r="28" spans="1:11">
      <c r="A28" s="1">
        <v>45330</v>
      </c>
      <c r="B28">
        <f>(Datenabzug!B28/Datenabzug!B27-1)</f>
        <v>-1.2740642561206106E-2</v>
      </c>
      <c r="C28">
        <f>(Datenabzug!C28/Datenabzug!C27-1)</f>
        <v>-2.6671363092347633E-3</v>
      </c>
      <c r="D28">
        <f>(Datenabzug!D28/Datenabzug!D27-1)</f>
        <v>1.44909084457856E-4</v>
      </c>
      <c r="E28">
        <f>(Datenabzug!E28/Datenabzug!E27-1)</f>
        <v>-1.3766467242941616E-3</v>
      </c>
      <c r="F28">
        <f>(Datenabzug!F28/Datenabzug!F27-1)</f>
        <v>-1.9282358865502225E-4</v>
      </c>
      <c r="G28">
        <f>(Datenabzug!G28/Datenabzug!G27-1)</f>
        <v>-6.5336959813161455E-3</v>
      </c>
      <c r="H28">
        <f>(Datenabzug!H28/Datenabzug!H27-1)</f>
        <v>1.3880042621934763E-2</v>
      </c>
      <c r="I28">
        <f>(Datenabzug!I28/Datenabzug!I27-1)</f>
        <v>1.9526983984418544E-2</v>
      </c>
      <c r="J28">
        <f>(Datenabzug!J28/Datenabzug!J27-1)</f>
        <v>1.0555473441792085E-2</v>
      </c>
      <c r="K28">
        <f>(Datenabzug!K28/Datenabzug!K27-1)</f>
        <v>-6.181243371948808E-3</v>
      </c>
    </row>
    <row r="29" spans="1:11">
      <c r="A29" s="1">
        <v>45331</v>
      </c>
      <c r="B29">
        <f>(Datenabzug!B29/Datenabzug!B28-1)</f>
        <v>-9.5613575873731982E-5</v>
      </c>
      <c r="C29">
        <f>(Datenabzug!C29/Datenabzug!C28-1)</f>
        <v>-4.5128663487465914E-3</v>
      </c>
      <c r="D29">
        <f>(Datenabzug!D29/Datenabzug!D28-1)</f>
        <v>1.5551470599195261E-2</v>
      </c>
      <c r="E29">
        <f>(Datenabzug!E29/Datenabzug!E28-1)</f>
        <v>4.9952158004022973E-3</v>
      </c>
      <c r="F29">
        <f>(Datenabzug!F29/Datenabzug!F28-1)</f>
        <v>7.0348408403053675E-3</v>
      </c>
      <c r="G29">
        <f>(Datenabzug!G29/Datenabzug!G28-1)</f>
        <v>3.578372638789995E-2</v>
      </c>
      <c r="H29">
        <f>(Datenabzug!H29/Datenabzug!H28-1)</f>
        <v>-3.5547908618860258E-2</v>
      </c>
      <c r="I29">
        <f>(Datenabzug!I29/Datenabzug!I28-1)</f>
        <v>7.350801751774938E-3</v>
      </c>
      <c r="J29">
        <f>(Datenabzug!J29/Datenabzug!J28-1)</f>
        <v>2.1154303741671487E-2</v>
      </c>
      <c r="K29">
        <f>(Datenabzug!K29/Datenabzug!K28-1)</f>
        <v>6.4788952122616372E-3</v>
      </c>
    </row>
    <row r="30" spans="1:11">
      <c r="A30" s="1">
        <v>45334</v>
      </c>
      <c r="B30">
        <f>(Datenabzug!B30/Datenabzug!B29-1)</f>
        <v>6.2143826342486719E-4</v>
      </c>
      <c r="C30">
        <f>(Datenabzug!C30/Datenabzug!C29-1)</f>
        <v>2.3506350960267319E-3</v>
      </c>
      <c r="D30">
        <f>(Datenabzug!D30/Datenabzug!D29-1)</f>
        <v>-1.2578756207840769E-2</v>
      </c>
      <c r="E30">
        <f>(Datenabzug!E30/Datenabzug!E29-1)</f>
        <v>-6.1819135127970659E-3</v>
      </c>
      <c r="F30">
        <f>(Datenabzug!F30/Datenabzug!F29-1)</f>
        <v>2.5645980552926995E-2</v>
      </c>
      <c r="G30">
        <f>(Datenabzug!G30/Datenabzug!G29-1)</f>
        <v>1.5942162098327994E-3</v>
      </c>
      <c r="H30">
        <f>(Datenabzug!H30/Datenabzug!H29-1)</f>
        <v>1.7534398368367343E-2</v>
      </c>
      <c r="I30">
        <f>(Datenabzug!I30/Datenabzug!I29-1)</f>
        <v>-1.8807787450447089E-2</v>
      </c>
      <c r="J30">
        <f>(Datenabzug!J30/Datenabzug!J29-1)</f>
        <v>-2.8103539988477366E-2</v>
      </c>
      <c r="K30">
        <f>(Datenabzug!K30/Datenabzug!K29-1)</f>
        <v>1.2507675840192078E-3</v>
      </c>
    </row>
    <row r="31" spans="1:11">
      <c r="A31" s="1">
        <v>45335</v>
      </c>
      <c r="B31">
        <f>(Datenabzug!B31/Datenabzug!B30-1)</f>
        <v>-2.3264678137811745E-2</v>
      </c>
      <c r="C31">
        <f>(Datenabzug!C31/Datenabzug!C30-1)</f>
        <v>-5.8626394042852192E-3</v>
      </c>
      <c r="D31">
        <f>(Datenabzug!D31/Datenabzug!D30-1)</f>
        <v>-2.1528612741315567E-2</v>
      </c>
      <c r="E31">
        <f>(Datenabzug!E31/Datenabzug!E30-1)</f>
        <v>-5.9692680835728984E-3</v>
      </c>
      <c r="F31">
        <f>(Datenabzug!F31/Datenabzug!F30-1)</f>
        <v>-2.0339594412411399E-2</v>
      </c>
      <c r="G31">
        <f>(Datenabzug!G31/Datenabzug!G30-1)</f>
        <v>-1.6608775594839642E-3</v>
      </c>
      <c r="H31">
        <f>(Datenabzug!H31/Datenabzug!H30-1)</f>
        <v>-1.01399406513214E-2</v>
      </c>
      <c r="I31">
        <f>(Datenabzug!I31/Datenabzug!I30-1)</f>
        <v>-1.6759161961024338E-2</v>
      </c>
      <c r="J31">
        <f>(Datenabzug!J31/Datenabzug!J30-1)</f>
        <v>-2.1846598116617044E-2</v>
      </c>
      <c r="K31">
        <f>(Datenabzug!K31/Datenabzug!K30-1)</f>
        <v>-4.9228408627758347E-3</v>
      </c>
    </row>
    <row r="32" spans="1:11">
      <c r="A32" s="1">
        <v>45336</v>
      </c>
      <c r="B32">
        <f>(Datenabzug!B32/Datenabzug!B31-1)</f>
        <v>-5.2822155707272778E-3</v>
      </c>
      <c r="C32">
        <f>(Datenabzug!C32/Datenabzug!C31-1)</f>
        <v>-1.0109027368834234E-3</v>
      </c>
      <c r="D32">
        <f>(Datenabzug!D32/Datenabzug!D31-1)</f>
        <v>9.6653544862159713E-3</v>
      </c>
      <c r="E32">
        <f>(Datenabzug!E32/Datenabzug!E31-1)</f>
        <v>4.4741391987191959E-2</v>
      </c>
      <c r="F32">
        <f>(Datenabzug!F32/Datenabzug!F31-1)</f>
        <v>1.2666514624123826E-2</v>
      </c>
      <c r="G32">
        <f>(Datenabzug!G32/Datenabzug!G31-1)</f>
        <v>2.4567404220022571E-2</v>
      </c>
      <c r="H32">
        <f>(Datenabzug!H32/Datenabzug!H31-1)</f>
        <v>-8.0532134631802199E-3</v>
      </c>
      <c r="I32">
        <f>(Datenabzug!I32/Datenabzug!I31-1)</f>
        <v>2.1305813715637445E-3</v>
      </c>
      <c r="J32">
        <f>(Datenabzug!J32/Datenabzug!J31-1)</f>
        <v>2.5486372853589234E-2</v>
      </c>
      <c r="K32">
        <f>(Datenabzug!K32/Datenabzug!K31-1)</f>
        <v>1.5875195759546434E-2</v>
      </c>
    </row>
    <row r="33" spans="1:11">
      <c r="A33" s="1">
        <v>45337</v>
      </c>
      <c r="B33">
        <f>(Datenabzug!B33/Datenabzug!B32-1)</f>
        <v>9.5879481828393676E-3</v>
      </c>
      <c r="C33">
        <f>(Datenabzug!C33/Datenabzug!C32-1)</f>
        <v>1.8552755884742034E-3</v>
      </c>
      <c r="D33">
        <f>(Datenabzug!D33/Datenabzug!D32-1)</f>
        <v>-7.1551528468142278E-3</v>
      </c>
      <c r="E33">
        <f>(Datenabzug!E33/Datenabzug!E32-1)</f>
        <v>2.4390251611322578E-2</v>
      </c>
      <c r="F33">
        <f>(Datenabzug!F33/Datenabzug!F32-1)</f>
        <v>-2.633124723789515E-3</v>
      </c>
      <c r="G33">
        <f>(Datenabzug!G33/Datenabzug!G32-1)</f>
        <v>-1.6806699254578783E-2</v>
      </c>
      <c r="H33">
        <f>(Datenabzug!H33/Datenabzug!H32-1)</f>
        <v>2.0297684025771812E-3</v>
      </c>
      <c r="I33">
        <f>(Datenabzug!I33/Datenabzug!I32-1)</f>
        <v>-9.0358032490962525E-3</v>
      </c>
      <c r="J33">
        <f>(Datenabzug!J33/Datenabzug!J32-1)</f>
        <v>6.2211805504176931E-2</v>
      </c>
      <c r="K33">
        <f>(Datenabzug!K33/Datenabzug!K32-1)</f>
        <v>8.286145031085157E-3</v>
      </c>
    </row>
    <row r="34" spans="1:11">
      <c r="A34" s="1">
        <v>45338</v>
      </c>
      <c r="B34">
        <f>(Datenabzug!B34/Datenabzug!B33-1)</f>
        <v>-7.0131126896439966E-3</v>
      </c>
      <c r="C34">
        <f>(Datenabzug!C34/Datenabzug!C33-1)</f>
        <v>-1.6839791541134463E-4</v>
      </c>
      <c r="D34">
        <f>(Datenabzug!D34/Datenabzug!D33-1)</f>
        <v>-6.1492043035263899E-3</v>
      </c>
      <c r="E34">
        <f>(Datenabzug!E34/Datenabzug!E33-1)</f>
        <v>-1.6024684753008001E-2</v>
      </c>
      <c r="F34">
        <f>(Datenabzug!F34/Datenabzug!F33-1)</f>
        <v>-2.3951030507104343E-2</v>
      </c>
      <c r="G34">
        <f>(Datenabzug!G34/Datenabzug!G33-1)</f>
        <v>-6.1917019847901322E-4</v>
      </c>
      <c r="H34">
        <f>(Datenabzug!H34/Datenabzug!H33-1)</f>
        <v>-9.1743470388021553E-3</v>
      </c>
      <c r="I34">
        <f>(Datenabzug!I34/Datenabzug!I33-1)</f>
        <v>0</v>
      </c>
      <c r="J34">
        <f>(Datenabzug!J34/Datenabzug!J33-1)</f>
        <v>-2.4943876658132247E-3</v>
      </c>
      <c r="K34">
        <f>(Datenabzug!K34/Datenabzug!K33-1)</f>
        <v>-4.68537111320666E-4</v>
      </c>
    </row>
    <row r="35" spans="1:11">
      <c r="A35" s="1">
        <v>45342</v>
      </c>
      <c r="B35">
        <f>(Datenabzug!B35/Datenabzug!B34-1)</f>
        <v>-2.5504157831068852E-3</v>
      </c>
      <c r="C35">
        <f>(Datenabzug!C35/Datenabzug!C34-1)</f>
        <v>2.2057596951888137E-2</v>
      </c>
      <c r="D35">
        <f>(Datenabzug!D35/Datenabzug!D34-1)</f>
        <v>-3.1431457578661171E-3</v>
      </c>
      <c r="E35">
        <f>(Datenabzug!E35/Datenabzug!E34-1)</f>
        <v>-1.5104045106333452E-2</v>
      </c>
      <c r="F35">
        <f>(Datenabzug!F35/Datenabzug!F34-1)</f>
        <v>-2.0288729833592978E-3</v>
      </c>
      <c r="G35">
        <f>(Datenabzug!G35/Datenabzug!G34-1)</f>
        <v>-4.3532116832669665E-2</v>
      </c>
      <c r="H35">
        <f>(Datenabzug!H35/Datenabzug!H34-1)</f>
        <v>1.400911975618846E-2</v>
      </c>
      <c r="I35">
        <f>(Datenabzug!I35/Datenabzug!I34-1)</f>
        <v>2.5745417787250702E-3</v>
      </c>
      <c r="J35">
        <f>(Datenabzug!J35/Datenabzug!J34-1)</f>
        <v>-3.0957752117442117E-2</v>
      </c>
      <c r="K35">
        <f>(Datenabzug!K35/Datenabzug!K34-1)</f>
        <v>-6.0221177427718375E-3</v>
      </c>
    </row>
    <row r="36" spans="1:11">
      <c r="A36" s="1">
        <v>45343</v>
      </c>
      <c r="B36">
        <f>(Datenabzug!B36/Datenabzug!B35-1)</f>
        <v>-8.8508031478871096E-3</v>
      </c>
      <c r="C36">
        <f>(Datenabzug!C36/Datenabzug!C35-1)</f>
        <v>8.8961717741140589E-3</v>
      </c>
      <c r="D36">
        <f>(Datenabzug!D36/Datenabzug!D35-1)</f>
        <v>-1.5144613042576971E-3</v>
      </c>
      <c r="E36">
        <f>(Datenabzug!E36/Datenabzug!E35-1)</f>
        <v>-3.0950033588278414E-3</v>
      </c>
      <c r="F36">
        <f>(Datenabzug!F36/Datenabzug!F35-1)</f>
        <v>1.9070716062399518E-2</v>
      </c>
      <c r="G36">
        <f>(Datenabzug!G36/Datenabzug!G35-1)</f>
        <v>-2.8508882794066714E-2</v>
      </c>
      <c r="H36">
        <f>(Datenabzug!H36/Datenabzug!H35-1)</f>
        <v>1.0673663592148941E-3</v>
      </c>
      <c r="I36">
        <f>(Datenabzug!I36/Datenabzug!I35-1)</f>
        <v>1.6691590623938435E-2</v>
      </c>
      <c r="J36">
        <f>(Datenabzug!J36/Datenabzug!J35-1)</f>
        <v>5.212684735028672E-3</v>
      </c>
      <c r="K36">
        <f>(Datenabzug!K36/Datenabzug!K35-1)</f>
        <v>-2.3217938128933246E-3</v>
      </c>
    </row>
    <row r="37" spans="1:11">
      <c r="A37" s="1">
        <v>45344</v>
      </c>
      <c r="B37">
        <f>(Datenabzug!B37/Datenabzug!B36-1)</f>
        <v>-3.4731022311973447E-4</v>
      </c>
      <c r="C37">
        <f>(Datenabzug!C37/Datenabzug!C36-1)</f>
        <v>-1.4695887287716758E-3</v>
      </c>
      <c r="D37">
        <f>(Datenabzug!D37/Datenabzug!D36-1)</f>
        <v>2.3546714373203104E-2</v>
      </c>
      <c r="E37">
        <f>(Datenabzug!E37/Datenabzug!E36-1)</f>
        <v>2.6371319021573303E-2</v>
      </c>
      <c r="F37">
        <f>(Datenabzug!F37/Datenabzug!F36-1)</f>
        <v>-1.8048398257723974E-3</v>
      </c>
      <c r="G37">
        <f>(Datenabzug!G37/Datenabzug!G36-1)</f>
        <v>0.16400869390414163</v>
      </c>
      <c r="H37">
        <f>(Datenabzug!H37/Datenabzug!H36-1)</f>
        <v>-3.4353708491964285E-3</v>
      </c>
      <c r="I37">
        <f>(Datenabzug!I37/Datenabzug!I36-1)</f>
        <v>7.9983728131773901E-3</v>
      </c>
      <c r="J37">
        <f>(Datenabzug!J37/Datenabzug!J36-1)</f>
        <v>1.3554445406059434E-2</v>
      </c>
      <c r="K37">
        <f>(Datenabzug!K37/Datenabzug!K36-1)</f>
        <v>8.6543842250521585E-3</v>
      </c>
    </row>
    <row r="38" spans="1:11">
      <c r="A38" s="1">
        <v>45345</v>
      </c>
      <c r="B38">
        <f>(Datenabzug!B38/Datenabzug!B37-1)</f>
        <v>-3.3250529476227531E-3</v>
      </c>
      <c r="C38">
        <f>(Datenabzug!C38/Datenabzug!C37-1)</f>
        <v>8.1763252987832047E-4</v>
      </c>
      <c r="D38">
        <f>(Datenabzug!D38/Datenabzug!D37-1)</f>
        <v>-3.1823321481244671E-3</v>
      </c>
      <c r="E38">
        <f>(Datenabzug!E38/Datenabzug!E37-1)</f>
        <v>-8.3436256546199905E-3</v>
      </c>
      <c r="F38">
        <f>(Datenabzug!F38/Datenabzug!F37-1)</f>
        <v>5.2340772192018825E-3</v>
      </c>
      <c r="G38">
        <f>(Datenabzug!G38/Datenabzug!G37-1)</f>
        <v>3.5523405582016387E-3</v>
      </c>
      <c r="H38">
        <f>(Datenabzug!H38/Datenabzug!H37-1)</f>
        <v>8.0237058917680404E-3</v>
      </c>
      <c r="I38">
        <f>(Datenabzug!I38/Datenabzug!I37-1)</f>
        <v>-1.6703767412752368E-3</v>
      </c>
      <c r="J38">
        <f>(Datenabzug!J38/Datenabzug!J37-1)</f>
        <v>-2.7556873210524913E-2</v>
      </c>
      <c r="K38">
        <f>(Datenabzug!K38/Datenabzug!K37-1)</f>
        <v>6.8508827779645287E-4</v>
      </c>
    </row>
    <row r="39" spans="1:11">
      <c r="A39" s="1">
        <v>45348</v>
      </c>
      <c r="B39">
        <f>(Datenabzug!B39/Datenabzug!B38-1)</f>
        <v>-1.4440499042865929E-3</v>
      </c>
      <c r="C39">
        <f>(Datenabzug!C39/Datenabzug!C38-1)</f>
        <v>-8.0065263320202584E-3</v>
      </c>
      <c r="D39">
        <f>(Datenabzug!D39/Datenabzug!D38-1)</f>
        <v>-6.8235071536953962E-3</v>
      </c>
      <c r="E39">
        <f>(Datenabzug!E39/Datenabzug!E38-1)</f>
        <v>7.0087512382279726E-3</v>
      </c>
      <c r="F39">
        <f>(Datenabzug!F39/Datenabzug!F38-1)</f>
        <v>-1.0319027716560569E-2</v>
      </c>
      <c r="G39">
        <f>(Datenabzug!G39/Datenabzug!G38-1)</f>
        <v>3.4892146177847305E-3</v>
      </c>
      <c r="H39">
        <f>(Datenabzug!H39/Datenabzug!H38-1)</f>
        <v>-7.9009356460906233E-3</v>
      </c>
      <c r="I39">
        <f>(Datenabzug!I39/Datenabzug!I38-1)</f>
        <v>-1.4013986053168059E-2</v>
      </c>
      <c r="J39">
        <f>(Datenabzug!J39/Datenabzug!J38-1)</f>
        <v>3.8703925762020086E-2</v>
      </c>
      <c r="K39">
        <f>(Datenabzug!K39/Datenabzug!K38-1)</f>
        <v>-9.1868850462133445E-3</v>
      </c>
    </row>
    <row r="40" spans="1:11">
      <c r="A40" s="1">
        <v>45349</v>
      </c>
      <c r="B40">
        <f>(Datenabzug!B40/Datenabzug!B39-1)</f>
        <v>4.2884244497054524E-3</v>
      </c>
      <c r="C40">
        <f>(Datenabzug!C40/Datenabzug!C39-1)</f>
        <v>-6.094634322597714E-3</v>
      </c>
      <c r="D40">
        <f>(Datenabzug!D40/Datenabzug!D39-1)</f>
        <v>-1.472544416917243E-4</v>
      </c>
      <c r="E40">
        <f>(Datenabzug!E40/Datenabzug!E39-1)</f>
        <v>2.3857666831671009E-2</v>
      </c>
      <c r="F40">
        <f>(Datenabzug!F40/Datenabzug!F39-1)</f>
        <v>5.835059036671808E-3</v>
      </c>
      <c r="G40">
        <f>(Datenabzug!G40/Datenabzug!G39-1)</f>
        <v>-4.9437683504638397E-3</v>
      </c>
      <c r="H40">
        <f>(Datenabzug!H40/Datenabzug!H39-1)</f>
        <v>-5.9438753838292335E-4</v>
      </c>
      <c r="I40">
        <f>(Datenabzug!I40/Datenabzug!I39-1)</f>
        <v>-1.5910706830155608E-3</v>
      </c>
      <c r="J40">
        <f>(Datenabzug!J40/Datenabzug!J39-1)</f>
        <v>1.6549741281652874E-3</v>
      </c>
      <c r="K40">
        <f>(Datenabzug!K40/Datenabzug!K39-1)</f>
        <v>1.4542512555260068E-4</v>
      </c>
    </row>
    <row r="41" spans="1:11">
      <c r="A41" s="1">
        <v>45350</v>
      </c>
      <c r="B41">
        <f>(Datenabzug!B41/Datenabzug!B40-1)</f>
        <v>2.7805393610857321E-2</v>
      </c>
      <c r="C41">
        <f>(Datenabzug!C41/Datenabzug!C40-1)</f>
        <v>9.9458132634144825E-4</v>
      </c>
      <c r="D41">
        <f>(Datenabzug!D41/Datenabzug!D40-1)</f>
        <v>5.889533074949771E-4</v>
      </c>
      <c r="E41">
        <f>(Datenabzug!E41/Datenabzug!E40-1)</f>
        <v>-8.6259952944686136E-3</v>
      </c>
      <c r="F41">
        <f>(Datenabzug!F41/Datenabzug!F40-1)</f>
        <v>-7.6082575437049771E-3</v>
      </c>
      <c r="G41">
        <f>(Datenabzug!G41/Datenabzug!G40-1)</f>
        <v>-1.3189139113644943E-2</v>
      </c>
      <c r="H41">
        <f>(Datenabzug!H41/Datenabzug!H40-1)</f>
        <v>-6.7198001777040162E-3</v>
      </c>
      <c r="I41">
        <f>(Datenabzug!I41/Datenabzug!I40-1)</f>
        <v>-1.2004653507620255E-2</v>
      </c>
      <c r="J41">
        <f>(Datenabzug!J41/Datenabzug!J40-1)</f>
        <v>1.1565601602195885E-2</v>
      </c>
      <c r="K41">
        <f>(Datenabzug!K41/Datenabzug!K40-1)</f>
        <v>4.3621194047771539E-4</v>
      </c>
    </row>
    <row r="42" spans="1:11">
      <c r="A42" s="1">
        <v>45351</v>
      </c>
      <c r="B42">
        <f>(Datenabzug!B42/Datenabzug!B41-1)</f>
        <v>-1.5845404730903345E-2</v>
      </c>
      <c r="C42">
        <f>(Datenabzug!C42/Datenabzug!C41-1)</f>
        <v>-6.2915237995500028E-3</v>
      </c>
      <c r="D42">
        <f>(Datenabzug!D42/Datenabzug!D41-1)</f>
        <v>1.4519769891826906E-2</v>
      </c>
      <c r="E42">
        <f>(Datenabzug!E42/Datenabzug!E41-1)</f>
        <v>1.079667826629338E-2</v>
      </c>
      <c r="F42">
        <f>(Datenabzug!F42/Datenabzug!F41-1)</f>
        <v>-4.0249317942104845E-3</v>
      </c>
      <c r="G42">
        <f>(Datenabzug!G42/Datenabzug!G41-1)</f>
        <v>1.8657746167142442E-2</v>
      </c>
      <c r="H42">
        <f>(Datenabzug!H42/Datenabzug!H41-1)</f>
        <v>-2.563908772390544E-3</v>
      </c>
      <c r="I42">
        <f>(Datenabzug!I42/Datenabzug!I41-1)</f>
        <v>2.0430126292645179E-2</v>
      </c>
      <c r="J42">
        <f>(Datenabzug!J42/Datenabzug!J41-1)</f>
        <v>-7.9186501997863257E-4</v>
      </c>
      <c r="K42">
        <f>(Datenabzug!K42/Datenabzug!K41-1)</f>
        <v>-9.3392898503359412E-3</v>
      </c>
    </row>
    <row r="43" spans="1:11">
      <c r="A43" s="1">
        <v>45352</v>
      </c>
      <c r="B43">
        <f>(Datenabzug!B43/Datenabzug!B42-1)</f>
        <v>-1.8260363235875321E-2</v>
      </c>
      <c r="C43">
        <f>(Datenabzug!C43/Datenabzug!C42-1)</f>
        <v>-8.1639355090494803E-3</v>
      </c>
      <c r="D43">
        <f>(Datenabzug!D43/Datenabzug!D42-1)</f>
        <v>4.4966752710937641E-3</v>
      </c>
      <c r="E43">
        <f>(Datenabzug!E43/Datenabzug!E42-1)</f>
        <v>2.7234200906820494E-2</v>
      </c>
      <c r="F43">
        <f>(Datenabzug!F43/Datenabzug!F42-1)</f>
        <v>-1.6222430088128292E-2</v>
      </c>
      <c r="G43">
        <f>(Datenabzug!G43/Datenabzug!G42-1)</f>
        <v>4.0031618686284798E-2</v>
      </c>
      <c r="H43">
        <f>(Datenabzug!H43/Datenabzug!H42-1)</f>
        <v>-4.5361638903469448E-3</v>
      </c>
      <c r="I43">
        <f>(Datenabzug!I43/Datenabzug!I42-1)</f>
        <v>-1.8334977604945735E-2</v>
      </c>
      <c r="J43">
        <f>(Datenabzug!J43/Datenabzug!J42-1)</f>
        <v>3.7645853400745111E-3</v>
      </c>
      <c r="K43">
        <f>(Datenabzug!K43/Datenabzug!K42-1)</f>
        <v>-5.2457929522513602E-3</v>
      </c>
    </row>
    <row r="44" spans="1:11">
      <c r="A44" s="1">
        <v>45355</v>
      </c>
      <c r="B44">
        <f>(Datenabzug!B44/Datenabzug!B43-1)</f>
        <v>2.6999664306599502E-3</v>
      </c>
      <c r="C44">
        <f>(Datenabzug!C44/Datenabzug!C43-1)</f>
        <v>4.7036391129779975E-3</v>
      </c>
      <c r="D44">
        <f>(Datenabzug!D44/Datenabzug!D43-1)</f>
        <v>-1.3958435359212595E-3</v>
      </c>
      <c r="E44">
        <f>(Datenabzug!E44/Datenabzug!E43-1)</f>
        <v>-5.6673388016694748E-3</v>
      </c>
      <c r="F44">
        <f>(Datenabzug!F44/Datenabzug!F43-1)</f>
        <v>-2.2968222436569929E-2</v>
      </c>
      <c r="G44">
        <f>(Datenabzug!G44/Datenabzug!G43-1)</f>
        <v>3.5950898334133452E-2</v>
      </c>
      <c r="H44">
        <f>(Datenabzug!H44/Datenabzug!H43-1)</f>
        <v>4.7390923208838753E-3</v>
      </c>
      <c r="I44">
        <f>(Datenabzug!I44/Datenabzug!I43-1)</f>
        <v>-7.5140360647677484E-3</v>
      </c>
      <c r="J44">
        <f>(Datenabzug!J44/Datenabzug!J43-1)</f>
        <v>-7.1555468040238934E-2</v>
      </c>
      <c r="K44">
        <f>(Datenabzug!K44/Datenabzug!K43-1)</f>
        <v>3.3559296589786847E-3</v>
      </c>
    </row>
    <row r="45" spans="1:11">
      <c r="A45" s="1">
        <v>45356</v>
      </c>
      <c r="B45">
        <f>(Datenabzug!B45/Datenabzug!B44-1)</f>
        <v>2.9919523466819253E-3</v>
      </c>
      <c r="C45">
        <f>(Datenabzug!C45/Datenabzug!C44-1)</f>
        <v>-4.8488619971498448E-3</v>
      </c>
      <c r="D45">
        <f>(Datenabzug!D45/Datenabzug!D44-1)</f>
        <v>-2.9572051056849125E-2</v>
      </c>
      <c r="E45">
        <f>(Datenabzug!E45/Datenabzug!E44-1)</f>
        <v>-2.8140910005876929E-2</v>
      </c>
      <c r="F45">
        <f>(Datenabzug!F45/Datenabzug!F44-1)</f>
        <v>-1.2356832824753861E-2</v>
      </c>
      <c r="G45">
        <f>(Datenabzug!G45/Datenabzug!G44-1)</f>
        <v>8.5765348456652291E-3</v>
      </c>
      <c r="H45">
        <f>(Datenabzug!H45/Datenabzug!H44-1)</f>
        <v>-2.0136744570876663E-2</v>
      </c>
      <c r="I45">
        <f>(Datenabzug!I45/Datenabzug!I44-1)</f>
        <v>-1.3411237120860342E-2</v>
      </c>
      <c r="J45">
        <f>(Datenabzug!J45/Datenabzug!J44-1)</f>
        <v>-3.9332379719839494E-2</v>
      </c>
      <c r="K45">
        <f>(Datenabzug!K45/Datenabzug!K44-1)</f>
        <v>-1.3230344361285784E-3</v>
      </c>
    </row>
    <row r="46" spans="1:11">
      <c r="A46" s="1">
        <v>45357</v>
      </c>
      <c r="B46">
        <f>(Datenabzug!B46/Datenabzug!B45-1)</f>
        <v>-6.9602958174819207E-4</v>
      </c>
      <c r="C46">
        <f>(Datenabzug!C46/Datenabzug!C45-1)</f>
        <v>5.0410825106528279E-4</v>
      </c>
      <c r="D46">
        <f>(Datenabzug!D46/Datenabzug!D45-1)</f>
        <v>-1.3908875176832369E-3</v>
      </c>
      <c r="E46">
        <f>(Datenabzug!E46/Datenabzug!E45-1)</f>
        <v>-1.3533793794385796E-3</v>
      </c>
      <c r="F46">
        <f>(Datenabzug!F46/Datenabzug!F45-1)</f>
        <v>-6.9168608729585079E-3</v>
      </c>
      <c r="G46">
        <f>(Datenabzug!G46/Datenabzug!G45-1)</f>
        <v>3.1827250135177509E-2</v>
      </c>
      <c r="H46">
        <f>(Datenabzug!H46/Datenabzug!H45-1)</f>
        <v>5.92452562186363E-3</v>
      </c>
      <c r="I46">
        <f>(Datenabzug!I46/Datenabzug!I45-1)</f>
        <v>4.7140314340157197E-3</v>
      </c>
      <c r="J46">
        <f>(Datenabzug!J46/Datenabzug!J45-1)</f>
        <v>-2.3237866987842248E-2</v>
      </c>
      <c r="K46">
        <f>(Datenabzug!K46/Datenabzug!K45-1)</f>
        <v>1.1555520179105327E-2</v>
      </c>
    </row>
    <row r="47" spans="1:11">
      <c r="A47" s="1">
        <v>45358</v>
      </c>
      <c r="B47">
        <f>(Datenabzug!B47/Datenabzug!B46-1)</f>
        <v>1.0099496414407882E-2</v>
      </c>
      <c r="C47">
        <f>(Datenabzug!C47/Datenabzug!C46-1)</f>
        <v>-1.8471753721551742E-3</v>
      </c>
      <c r="D47">
        <f>(Datenabzug!D47/Datenabzug!D46-1)</f>
        <v>1.7533625199042335E-2</v>
      </c>
      <c r="E47">
        <f>(Datenabzug!E47/Datenabzug!E46-1)</f>
        <v>1.8103042179093087E-2</v>
      </c>
      <c r="F47">
        <f>(Datenabzug!F47/Datenabzug!F46-1)</f>
        <v>5.7359505871648064E-3</v>
      </c>
      <c r="G47">
        <f>(Datenabzug!G47/Datenabzug!G46-1)</f>
        <v>4.4746357170268869E-2</v>
      </c>
      <c r="H47">
        <f>(Datenabzug!H47/Datenabzug!H46-1)</f>
        <v>6.7492806520230708E-4</v>
      </c>
      <c r="I47">
        <f>(Datenabzug!I47/Datenabzug!I46-1)</f>
        <v>-7.6378349558477998E-3</v>
      </c>
      <c r="J47">
        <f>(Datenabzug!J47/Datenabzug!J46-1)</f>
        <v>1.1951969472051349E-2</v>
      </c>
      <c r="K47">
        <f>(Datenabzug!K47/Datenabzug!K46-1)</f>
        <v>-1.8553800708394075E-3</v>
      </c>
    </row>
    <row r="48" spans="1:11">
      <c r="A48" s="1">
        <v>45359</v>
      </c>
      <c r="B48">
        <f>(Datenabzug!B48/Datenabzug!B47-1)</f>
        <v>-2.2361194470907675E-2</v>
      </c>
      <c r="C48">
        <f>(Datenabzug!C48/Datenabzug!C47-1)</f>
        <v>1.3458070598331151E-3</v>
      </c>
      <c r="D48">
        <f>(Datenabzug!D48/Datenabzug!D47-1)</f>
        <v>-7.1369517060043686E-3</v>
      </c>
      <c r="E48">
        <f>(Datenabzug!E48/Datenabzug!E47-1)</f>
        <v>-6.0639962896062993E-3</v>
      </c>
      <c r="F48">
        <f>(Datenabzug!F48/Datenabzug!F47-1)</f>
        <v>9.8787588041435725E-3</v>
      </c>
      <c r="G48">
        <f>(Datenabzug!G48/Datenabzug!G47-1)</f>
        <v>-5.5477018531021827E-2</v>
      </c>
      <c r="H48">
        <f>(Datenabzug!H48/Datenabzug!H47-1)</f>
        <v>-3.6782320876338481E-4</v>
      </c>
      <c r="I48">
        <f>(Datenabzug!I48/Datenabzug!I47-1)</f>
        <v>1.2094243794871229E-3</v>
      </c>
      <c r="J48">
        <f>(Datenabzug!J48/Datenabzug!J47-1)</f>
        <v>-1.8527834714127889E-2</v>
      </c>
      <c r="K48">
        <f>(Datenabzug!K48/Datenabzug!K47-1)</f>
        <v>-2.3692111513400338E-3</v>
      </c>
    </row>
    <row r="49" spans="1:11">
      <c r="A49" s="1">
        <v>45362</v>
      </c>
      <c r="B49">
        <f>(Datenabzug!B49/Datenabzug!B48-1)</f>
        <v>-3.0228222247727476E-2</v>
      </c>
      <c r="C49">
        <f>(Datenabzug!C49/Datenabzug!C48-1)</f>
        <v>1.2096855793143568E-2</v>
      </c>
      <c r="D49">
        <f>(Datenabzug!D49/Datenabzug!D48-1)</f>
        <v>-4.1849828711701953E-3</v>
      </c>
      <c r="E49">
        <f>(Datenabzug!E49/Datenabzug!E48-1)</f>
        <v>-6.4316897611352841E-3</v>
      </c>
      <c r="F49">
        <f>(Datenabzug!F49/Datenabzug!F48-1)</f>
        <v>1.9362744189176606E-2</v>
      </c>
      <c r="G49">
        <f>(Datenabzug!G49/Datenabzug!G48-1)</f>
        <v>-2.0039318428256681E-2</v>
      </c>
      <c r="H49">
        <f>(Datenabzug!H49/Datenabzug!H48-1)</f>
        <v>1.0303523770129663E-2</v>
      </c>
      <c r="I49">
        <f>(Datenabzug!I49/Datenabzug!I48-1)</f>
        <v>1.1091615300892421E-2</v>
      </c>
      <c r="J49">
        <f>(Datenabzug!J49/Datenabzug!J48-1)</f>
        <v>1.3858834181148527E-2</v>
      </c>
      <c r="K49">
        <f>(Datenabzug!K49/Datenabzug!K48-1)</f>
        <v>-6.3568943749611195E-3</v>
      </c>
    </row>
    <row r="50" spans="1:11">
      <c r="A50" s="1">
        <v>45363</v>
      </c>
      <c r="B50">
        <f>(Datenabzug!B50/Datenabzug!B49-1)</f>
        <v>-4.2859368094791739E-2</v>
      </c>
      <c r="C50">
        <f>(Datenabzug!C50/Datenabzug!C49-1)</f>
        <v>4.3160352936466584E-3</v>
      </c>
      <c r="D50">
        <f>(Datenabzug!D50/Datenabzug!D49-1)</f>
        <v>2.6599347959180175E-2</v>
      </c>
      <c r="E50">
        <f>(Datenabzug!E50/Datenabzug!E49-1)</f>
        <v>1.6890527245722264E-2</v>
      </c>
      <c r="F50">
        <f>(Datenabzug!F50/Datenabzug!F49-1)</f>
        <v>-8.9038295236187892E-3</v>
      </c>
      <c r="G50">
        <f>(Datenabzug!G50/Datenabzug!G49-1)</f>
        <v>7.1571910401903471E-2</v>
      </c>
      <c r="H50">
        <f>(Datenabzug!H50/Datenabzug!H49-1)</f>
        <v>-1.1533833416611516E-3</v>
      </c>
      <c r="I50">
        <f>(Datenabzug!I50/Datenabzug!I49-1)</f>
        <v>3.5842220293933469E-3</v>
      </c>
      <c r="J50">
        <f>(Datenabzug!J50/Datenabzug!J49-1)</f>
        <v>-1.293868373741458E-3</v>
      </c>
      <c r="K50">
        <f>(Datenabzug!K50/Datenabzug!K49-1)</f>
        <v>1.1067361230926664E-2</v>
      </c>
    </row>
    <row r="51" spans="1:11">
      <c r="A51" s="1">
        <v>45364</v>
      </c>
      <c r="B51">
        <f>(Datenabzug!B51/Datenabzug!B50-1)</f>
        <v>-1.0258355043954559E-2</v>
      </c>
      <c r="C51">
        <f>(Datenabzug!C51/Datenabzug!C50-1)</f>
        <v>1.0247874346113628E-2</v>
      </c>
      <c r="D51">
        <f>(Datenabzug!D51/Datenabzug!D50-1)</f>
        <v>-4.3338140686866033E-4</v>
      </c>
      <c r="E51">
        <f>(Datenabzug!E51/Datenabzug!E50-1)</f>
        <v>-2.667416438479786E-3</v>
      </c>
      <c r="F51">
        <f>(Datenabzug!F51/Datenabzug!F50-1)</f>
        <v>1.177871497146632E-2</v>
      </c>
      <c r="G51">
        <f>(Datenabzug!G51/Datenabzug!G50-1)</f>
        <v>-1.1151903918378836E-2</v>
      </c>
      <c r="H51">
        <f>(Datenabzug!H51/Datenabzug!H50-1)</f>
        <v>4.6190544277699974E-3</v>
      </c>
      <c r="I51">
        <f>(Datenabzug!I51/Datenabzug!I50-1)</f>
        <v>-8.5497867243135017E-3</v>
      </c>
      <c r="J51">
        <f>(Datenabzug!J51/Datenabzug!J50-1)</f>
        <v>-4.5398208084885483E-2</v>
      </c>
      <c r="K51">
        <f>(Datenabzug!K51/Datenabzug!K50-1)</f>
        <v>-2.9100553317396027E-4</v>
      </c>
    </row>
    <row r="52" spans="1:11">
      <c r="A52" s="1">
        <v>45365</v>
      </c>
      <c r="B52">
        <f>(Datenabzug!B52/Datenabzug!B51-1)</f>
        <v>-6.5808180250336301E-3</v>
      </c>
      <c r="C52">
        <f>(Datenabzug!C52/Datenabzug!C51-1)</f>
        <v>-2.2262973106934592E-3</v>
      </c>
      <c r="D52">
        <f>(Datenabzug!D52/Datenabzug!D51-1)</f>
        <v>2.4379701623866046E-2</v>
      </c>
      <c r="E52">
        <f>(Datenabzug!E52/Datenabzug!E51-1)</f>
        <v>5.8413282259228705E-3</v>
      </c>
      <c r="F52">
        <f>(Datenabzug!F52/Datenabzug!F51-1)</f>
        <v>-1.0852379908551146E-2</v>
      </c>
      <c r="G52">
        <f>(Datenabzug!G52/Datenabzug!G51-1)</f>
        <v>-3.2391562337401703E-2</v>
      </c>
      <c r="H52">
        <f>(Datenabzug!H52/Datenabzug!H51-1)</f>
        <v>-3.1459203704632399E-3</v>
      </c>
      <c r="I52">
        <f>(Datenabzug!I52/Datenabzug!I51-1)</f>
        <v>5.4587162117836208E-4</v>
      </c>
      <c r="J52">
        <f>(Datenabzug!J52/Datenabzug!J51-1)</f>
        <v>-4.1184776395441047E-2</v>
      </c>
      <c r="K52">
        <f>(Datenabzug!K52/Datenabzug!K51-1)</f>
        <v>-3.2740021709106726E-3</v>
      </c>
    </row>
    <row r="53" spans="1:11">
      <c r="A53" s="1">
        <v>45366</v>
      </c>
      <c r="B53">
        <f>(Datenabzug!B53/Datenabzug!B52-1)</f>
        <v>7.6180233469982372E-3</v>
      </c>
      <c r="C53">
        <f>(Datenabzug!C53/Datenabzug!C52-1)</f>
        <v>-1.0247977967397071E-2</v>
      </c>
      <c r="D53">
        <f>(Datenabzug!D53/Datenabzug!D52-1)</f>
        <v>-2.0695156845422336E-2</v>
      </c>
      <c r="E53">
        <f>(Datenabzug!E53/Datenabzug!E52-1)</f>
        <v>-1.1631139409190028E-2</v>
      </c>
      <c r="F53">
        <f>(Datenabzug!F53/Datenabzug!F52-1)</f>
        <v>-6.1839088836939116E-3</v>
      </c>
      <c r="G53">
        <f>(Datenabzug!G53/Datenabzug!G52-1)</f>
        <v>-1.2166726593371147E-3</v>
      </c>
      <c r="H53">
        <f>(Datenabzug!H53/Datenabzug!H52-1)</f>
        <v>-7.2819086261366461E-4</v>
      </c>
      <c r="I53">
        <f>(Datenabzug!I53/Datenabzug!I52-1)</f>
        <v>-1.6801214892385841E-2</v>
      </c>
      <c r="J53">
        <f>(Datenabzug!J53/Datenabzug!J52-1)</f>
        <v>6.5846604567261213E-3</v>
      </c>
      <c r="K53">
        <f>(Datenabzug!K53/Datenabzug!K52-1)</f>
        <v>-7.4816050461997685E-3</v>
      </c>
    </row>
    <row r="54" spans="1:11">
      <c r="A54" s="1">
        <v>45369</v>
      </c>
      <c r="B54">
        <f>(Datenabzug!B54/Datenabzug!B53-1)</f>
        <v>-1.4737316930892974E-2</v>
      </c>
      <c r="C54">
        <f>(Datenabzug!C54/Datenabzug!C53-1)</f>
        <v>4.1751094491870866E-3</v>
      </c>
      <c r="D54">
        <f>(Datenabzug!D54/Datenabzug!D53-1)</f>
        <v>2.1611965747834194E-3</v>
      </c>
      <c r="E54">
        <f>(Datenabzug!E54/Datenabzug!E53-1)</f>
        <v>2.0647668952278098E-2</v>
      </c>
      <c r="F54">
        <f>(Datenabzug!F54/Datenabzug!F53-1)</f>
        <v>-9.0325867211553668E-3</v>
      </c>
      <c r="G54">
        <f>(Datenabzug!G54/Datenabzug!G53-1)</f>
        <v>7.0357365365625313E-3</v>
      </c>
      <c r="H54">
        <f>(Datenabzug!H54/Datenabzug!H53-1)</f>
        <v>4.0082587147220572E-2</v>
      </c>
      <c r="I54">
        <f>(Datenabzug!I54/Datenabzug!I53-1)</f>
        <v>9.875710822121464E-3</v>
      </c>
      <c r="J54">
        <f>(Datenabzug!J54/Datenabzug!J53-1)</f>
        <v>6.2542002014230658E-2</v>
      </c>
      <c r="K54">
        <f>(Datenabzug!K54/Datenabzug!K53-1)</f>
        <v>6.8760294389558219E-3</v>
      </c>
    </row>
    <row r="55" spans="1:11">
      <c r="A55" s="1">
        <v>45370</v>
      </c>
      <c r="B55">
        <f>(Datenabzug!B55/Datenabzug!B54-1)</f>
        <v>7.2286648033261791E-3</v>
      </c>
      <c r="C55">
        <f>(Datenabzug!C55/Datenabzug!C54-1)</f>
        <v>1.6629685488906976E-3</v>
      </c>
      <c r="D55">
        <f>(Datenabzug!D55/Datenabzug!D54-1)</f>
        <v>9.8006372532897235E-3</v>
      </c>
      <c r="E55">
        <f>(Datenabzug!E55/Datenabzug!E54-1)</f>
        <v>3.8001512480339006E-3</v>
      </c>
      <c r="F55">
        <f>(Datenabzug!F55/Datenabzug!F54-1)</f>
        <v>1.2355689708668294E-2</v>
      </c>
      <c r="G55">
        <f>(Datenabzug!G55/Datenabzug!G54-1)</f>
        <v>1.066089930764047E-2</v>
      </c>
      <c r="H55">
        <f>(Datenabzug!H55/Datenabzug!H54-1)</f>
        <v>3.1531507634969813E-3</v>
      </c>
      <c r="I55">
        <f>(Datenabzug!I55/Datenabzug!I54-1)</f>
        <v>6.372799737930368E-3</v>
      </c>
      <c r="J55">
        <f>(Datenabzug!J55/Datenabzug!J54-1)</f>
        <v>-1.4269250195585115E-2</v>
      </c>
      <c r="K55">
        <f>(Datenabzug!K55/Datenabzug!K54-1)</f>
        <v>-3.2136010819761029E-3</v>
      </c>
    </row>
    <row r="56" spans="1:11">
      <c r="A56" s="1">
        <v>45371</v>
      </c>
      <c r="B56">
        <f>(Datenabzug!B56/Datenabzug!B55-1)</f>
        <v>3.665672635542383E-2</v>
      </c>
      <c r="C56">
        <f>(Datenabzug!C56/Datenabzug!C55-1)</f>
        <v>8.6335791849168064E-3</v>
      </c>
      <c r="D56">
        <f>(Datenabzug!D56/Datenabzug!D55-1)</f>
        <v>9.0647549123372695E-3</v>
      </c>
      <c r="E56">
        <f>(Datenabzug!E56/Datenabzug!E55-1)</f>
        <v>1.1196333918178647E-2</v>
      </c>
      <c r="F56">
        <f>(Datenabzug!F56/Datenabzug!F55-1)</f>
        <v>3.101195037023885E-3</v>
      </c>
      <c r="G56">
        <f>(Datenabzug!G56/Datenabzug!G55-1)</f>
        <v>1.0895069399046831E-2</v>
      </c>
      <c r="H56">
        <f>(Datenabzug!H56/Datenabzug!H55-1)</f>
        <v>3.4912514600882183E-4</v>
      </c>
      <c r="I56">
        <f>(Datenabzug!I56/Datenabzug!I55-1)</f>
        <v>1.1027346253080328E-2</v>
      </c>
      <c r="J56">
        <f>(Datenabzug!J56/Datenabzug!J55-1)</f>
        <v>2.5332688257931668E-2</v>
      </c>
      <c r="K56">
        <f>(Datenabzug!K56/Datenabzug!K55-1)</f>
        <v>6.4848127338985595E-3</v>
      </c>
    </row>
    <row r="57" spans="1:11">
      <c r="A57" s="1">
        <v>45372</v>
      </c>
      <c r="B57">
        <f>(Datenabzug!B57/Datenabzug!B56-1)</f>
        <v>-4.2604021500736167E-4</v>
      </c>
      <c r="C57">
        <f>(Datenabzug!C57/Datenabzug!C56-1)</f>
        <v>-4.6090125751507838E-3</v>
      </c>
      <c r="D57">
        <f>(Datenabzug!D57/Datenabzug!D56-1)</f>
        <v>9.7359121600986143E-3</v>
      </c>
      <c r="E57">
        <f>(Datenabzug!E57/Datenabzug!E56-1)</f>
        <v>-7.9338215510528221E-3</v>
      </c>
      <c r="F57">
        <f>(Datenabzug!F57/Datenabzug!F56-1)</f>
        <v>5.4852155409910175E-3</v>
      </c>
      <c r="G57">
        <f>(Datenabzug!G57/Datenabzug!G56-1)</f>
        <v>1.1762399744741359E-2</v>
      </c>
      <c r="H57">
        <f>(Datenabzug!H57/Datenabzug!H56-1)</f>
        <v>3.433086941142971E-3</v>
      </c>
      <c r="I57">
        <f>(Datenabzug!I57/Datenabzug!I56-1)</f>
        <v>-1.0151003235193468E-2</v>
      </c>
      <c r="J57">
        <f>(Datenabzug!J57/Datenabzug!J56-1)</f>
        <v>-1.6167575308457138E-2</v>
      </c>
      <c r="K57">
        <f>(Datenabzug!K57/Datenabzug!K56-1)</f>
        <v>-7.2805932258301898E-4</v>
      </c>
    </row>
    <row r="58" spans="1:11">
      <c r="A58" s="1">
        <v>45373</v>
      </c>
      <c r="B58">
        <f>(Datenabzug!B58/Datenabzug!B57-1)</f>
        <v>6.1268469577553386E-3</v>
      </c>
      <c r="C58">
        <f>(Datenabzug!C58/Datenabzug!C57-1)</f>
        <v>3.3069750280256827E-4</v>
      </c>
      <c r="D58">
        <f>(Datenabzug!D58/Datenabzug!D57-1)</f>
        <v>-1.4672027205059335E-3</v>
      </c>
      <c r="E58">
        <f>(Datenabzug!E58/Datenabzug!E57-1)</f>
        <v>8.5111650783769033E-3</v>
      </c>
      <c r="F58">
        <f>(Datenabzug!F58/Datenabzug!F57-1)</f>
        <v>-6.9033864993199301E-2</v>
      </c>
      <c r="G58">
        <f>(Datenabzug!G58/Datenabzug!G57-1)</f>
        <v>3.1213545402556608E-2</v>
      </c>
      <c r="H58">
        <f>(Datenabzug!H58/Datenabzug!H57-1)</f>
        <v>-2.49354177486516E-3</v>
      </c>
      <c r="I58">
        <f>(Datenabzug!I58/Datenabzug!I57-1)</f>
        <v>-1.0364527026534121E-2</v>
      </c>
      <c r="J58">
        <f>(Datenabzug!J58/Datenabzug!J57-1)</f>
        <v>-1.1514902261464788E-2</v>
      </c>
      <c r="K58">
        <f>(Datenabzug!K58/Datenabzug!K57-1)</f>
        <v>-4.7357203591821273E-3</v>
      </c>
    </row>
    <row r="59" spans="1:11">
      <c r="A59" s="1">
        <v>45376</v>
      </c>
      <c r="B59">
        <f>(Datenabzug!B59/Datenabzug!B58-1)</f>
        <v>1.3555718696618868E-2</v>
      </c>
      <c r="C59">
        <f>(Datenabzug!C59/Datenabzug!C58-1)</f>
        <v>-1.4878430351107363E-3</v>
      </c>
      <c r="D59">
        <f>(Datenabzug!D59/Datenabzug!D58-1)</f>
        <v>-1.3714707891961386E-2</v>
      </c>
      <c r="E59">
        <f>(Datenabzug!E59/Datenabzug!E58-1)</f>
        <v>-8.7576278151080267E-4</v>
      </c>
      <c r="F59">
        <f>(Datenabzug!F59/Datenabzug!F58-1)</f>
        <v>-1.1720136053934294E-3</v>
      </c>
      <c r="G59">
        <f>(Datenabzug!G59/Datenabzug!G58-1)</f>
        <v>7.5616831870466417E-3</v>
      </c>
      <c r="H59">
        <f>(Datenabzug!H59/Datenabzug!H58-1)</f>
        <v>3.3717960918191459E-3</v>
      </c>
      <c r="I59">
        <f>(Datenabzug!I59/Datenabzug!I58-1)</f>
        <v>-4.409780000872443E-4</v>
      </c>
      <c r="J59">
        <f>(Datenabzug!J59/Datenabzug!J58-1)</f>
        <v>1.0536808713133006E-2</v>
      </c>
      <c r="K59">
        <f>(Datenabzug!K59/Datenabzug!K58-1)</f>
        <v>1.8667670647347645E-3</v>
      </c>
    </row>
    <row r="60" spans="1:11">
      <c r="A60" s="1">
        <v>45377</v>
      </c>
      <c r="B60">
        <f>(Datenabzug!B60/Datenabzug!B59-1)</f>
        <v>-2.0427373634092971E-2</v>
      </c>
      <c r="C60">
        <f>(Datenabzug!C60/Datenabzug!C59-1)</f>
        <v>2.3178929636948897E-3</v>
      </c>
      <c r="D60">
        <f>(Datenabzug!D60/Datenabzug!D59-1)</f>
        <v>-2.8614120991495851E-3</v>
      </c>
      <c r="E60">
        <f>(Datenabzug!E60/Datenabzug!E59-1)</f>
        <v>2.8367835390101792E-3</v>
      </c>
      <c r="F60">
        <f>(Datenabzug!F60/Datenabzug!F59-1)</f>
        <v>-1.2479930302655595E-2</v>
      </c>
      <c r="G60">
        <f>(Datenabzug!G60/Datenabzug!G59-1)</f>
        <v>-2.5694163143905269E-2</v>
      </c>
      <c r="H60">
        <f>(Datenabzug!H60/Datenabzug!H59-1)</f>
        <v>7.5310105867765209E-4</v>
      </c>
      <c r="I60">
        <f>(Datenabzug!I60/Datenabzug!I59-1)</f>
        <v>-3.4189351743992846E-3</v>
      </c>
      <c r="J60">
        <f>(Datenabzug!J60/Datenabzug!J59-1)</f>
        <v>2.9195349264772075E-2</v>
      </c>
      <c r="K60">
        <f>(Datenabzug!K60/Datenabzug!K59-1)</f>
        <v>1.5344997923478765E-3</v>
      </c>
    </row>
    <row r="61" spans="1:11">
      <c r="A61" s="1">
        <v>45378</v>
      </c>
      <c r="B61">
        <f>(Datenabzug!B61/Datenabzug!B60-1)</f>
        <v>2.3733317057290648E-2</v>
      </c>
      <c r="C61">
        <f>(Datenabzug!C61/Datenabzug!C60-1)</f>
        <v>8.0938319824006566E-3</v>
      </c>
      <c r="D61">
        <f>(Datenabzug!D61/Datenabzug!D60-1)</f>
        <v>-5.2174304406993333E-4</v>
      </c>
      <c r="E61">
        <f>(Datenabzug!E61/Datenabzug!E60-1)</f>
        <v>-2.4966564715075523E-2</v>
      </c>
      <c r="F61">
        <f>(Datenabzug!F61/Datenabzug!F60-1)</f>
        <v>1.6742199601307739E-2</v>
      </c>
      <c r="G61">
        <f>(Datenabzug!G61/Datenabzug!G60-1)</f>
        <v>-2.496724958434704E-2</v>
      </c>
      <c r="H61">
        <f>(Datenabzug!H61/Datenabzug!H60-1)</f>
        <v>4.863189628961484E-3</v>
      </c>
      <c r="I61">
        <f>(Datenabzug!I61/Datenabzug!I60-1)</f>
        <v>1.2616247598665753E-2</v>
      </c>
      <c r="J61">
        <f>(Datenabzug!J61/Datenabzug!J60-1)</f>
        <v>1.2157391142960883E-2</v>
      </c>
      <c r="K61">
        <f>(Datenabzug!K61/Datenabzug!K60-1)</f>
        <v>9.7341774132082559E-3</v>
      </c>
    </row>
    <row r="62" spans="1:11">
      <c r="A62" s="1">
        <v>45379</v>
      </c>
      <c r="B62">
        <f>(Datenabzug!B62/Datenabzug!B61-1)</f>
        <v>5.418122226917399E-3</v>
      </c>
      <c r="C62">
        <f>(Datenabzug!C62/Datenabzug!C61-1)</f>
        <v>2.4577324988106497E-3</v>
      </c>
      <c r="D62">
        <f>(Datenabzug!D62/Datenabzug!D61-1)</f>
        <v>-1.6847624939575478E-3</v>
      </c>
      <c r="E62">
        <f>(Datenabzug!E62/Datenabzug!E61-1)</f>
        <v>-1.0105474729798392E-2</v>
      </c>
      <c r="F62">
        <f>(Datenabzug!F62/Datenabzug!F61-1)</f>
        <v>-1.5934424507294542E-3</v>
      </c>
      <c r="G62">
        <f>(Datenabzug!G62/Datenabzug!G61-1)</f>
        <v>1.1745910475504662E-3</v>
      </c>
      <c r="H62">
        <f>(Datenabzug!H62/Datenabzug!H61-1)</f>
        <v>8.2962208441645924E-3</v>
      </c>
      <c r="I62">
        <f>(Datenabzug!I62/Datenabzug!I61-1)</f>
        <v>-1.2023268119402131E-3</v>
      </c>
      <c r="J62">
        <f>(Datenabzug!J62/Datenabzug!J61-1)</f>
        <v>-2.2465709302041281E-2</v>
      </c>
      <c r="K62">
        <f>(Datenabzug!K62/Datenabzug!K61-1)</f>
        <v>-3.3341682132137507E-3</v>
      </c>
    </row>
    <row r="63" spans="1:11">
      <c r="A63" s="1">
        <v>45383</v>
      </c>
      <c r="B63">
        <f>(Datenabzug!B63/Datenabzug!B62-1)</f>
        <v>-1.8083866489592038E-2</v>
      </c>
      <c r="C63">
        <f>(Datenabzug!C63/Datenabzug!C62-1)</f>
        <v>-8.1726580068449683E-3</v>
      </c>
      <c r="D63">
        <f>(Datenabzug!D63/Datenabzug!D62-1)</f>
        <v>9.151015777980831E-3</v>
      </c>
      <c r="E63">
        <f>(Datenabzug!E63/Datenabzug!E62-1)</f>
        <v>1.1492895579566564E-2</v>
      </c>
      <c r="F63">
        <f>(Datenabzug!F63/Datenabzug!F62-1)</f>
        <v>-1.510966781656653E-2</v>
      </c>
      <c r="G63">
        <f>(Datenabzug!G63/Datenabzug!G62-1)</f>
        <v>7.7375124910794568E-5</v>
      </c>
      <c r="H63">
        <f>(Datenabzug!H63/Datenabzug!H62-1)</f>
        <v>-1.1599254883322696E-2</v>
      </c>
      <c r="I63">
        <f>(Datenabzug!I63/Datenabzug!I62-1)</f>
        <v>1.5319821314156989E-3</v>
      </c>
      <c r="J63">
        <f>(Datenabzug!J63/Datenabzug!J62-1)</f>
        <v>-3.2424602491519794E-3</v>
      </c>
      <c r="K63">
        <f>(Datenabzug!K63/Datenabzug!K62-1)</f>
        <v>-5.6728209899550297E-3</v>
      </c>
    </row>
    <row r="64" spans="1:11">
      <c r="A64" s="1">
        <v>45384</v>
      </c>
      <c r="B64">
        <f>(Datenabzug!B64/Datenabzug!B63-1)</f>
        <v>-7.7045209175092833E-3</v>
      </c>
      <c r="C64">
        <f>(Datenabzug!C64/Datenabzug!C63-1)</f>
        <v>-8.7341999218701893E-3</v>
      </c>
      <c r="D64">
        <f>(Datenabzug!D64/Datenabzug!D63-1)</f>
        <v>-7.372149441595921E-3</v>
      </c>
      <c r="E64">
        <f>(Datenabzug!E64/Datenabzug!E63-1)</f>
        <v>-1.6274452041198373E-4</v>
      </c>
      <c r="F64">
        <f>(Datenabzug!F64/Datenabzug!F63-1)</f>
        <v>-1.7394107563493688E-2</v>
      </c>
      <c r="G64">
        <f>(Datenabzug!G64/Datenabzug!G63-1)</f>
        <v>-1.0081553491214201E-2</v>
      </c>
      <c r="H64">
        <f>(Datenabzug!H64/Datenabzug!H63-1)</f>
        <v>-8.9028233386189148E-3</v>
      </c>
      <c r="I64">
        <f>(Datenabzug!I64/Datenabzug!I63-1)</f>
        <v>-2.436352136097053E-2</v>
      </c>
      <c r="J64">
        <f>(Datenabzug!J64/Datenabzug!J63-1)</f>
        <v>-4.9024062767076826E-2</v>
      </c>
      <c r="K64">
        <f>(Datenabzug!K64/Datenabzug!K63-1)</f>
        <v>-2.0589622684261122E-2</v>
      </c>
    </row>
    <row r="65" spans="1:11">
      <c r="A65" s="1">
        <v>45385</v>
      </c>
      <c r="B65">
        <f>(Datenabzug!B65/Datenabzug!B64-1)</f>
        <v>-1.6592189047993755E-2</v>
      </c>
      <c r="C65">
        <f>(Datenabzug!C65/Datenabzug!C64-1)</f>
        <v>-5.3200327799530767E-3</v>
      </c>
      <c r="D65">
        <f>(Datenabzug!D65/Datenabzug!D64-1)</f>
        <v>-2.3490500510310319E-3</v>
      </c>
      <c r="E65">
        <f>(Datenabzug!E65/Datenabzug!E64-1)</f>
        <v>2.5838059539011304E-2</v>
      </c>
      <c r="F65">
        <f>(Datenabzug!F65/Datenabzug!F64-1)</f>
        <v>-6.8168322976503992E-3</v>
      </c>
      <c r="G65">
        <f>(Datenabzug!G65/Datenabzug!G64-1)</f>
        <v>-5.4554668021392638E-3</v>
      </c>
      <c r="H65">
        <f>(Datenabzug!H65/Datenabzug!H64-1)</f>
        <v>-1.0265919273379942E-2</v>
      </c>
      <c r="I65">
        <f>(Datenabzug!I65/Datenabzug!I64-1)</f>
        <v>-6.7190231803386791E-3</v>
      </c>
      <c r="J65">
        <f>(Datenabzug!J65/Datenabzug!J64-1)</f>
        <v>1.0502310200559251E-2</v>
      </c>
      <c r="K65">
        <f>(Datenabzug!K65/Datenabzug!K64-1)</f>
        <v>5.5637195793734051E-3</v>
      </c>
    </row>
    <row r="66" spans="1:11">
      <c r="A66" s="1">
        <v>45386</v>
      </c>
      <c r="B66">
        <f>(Datenabzug!B66/Datenabzug!B65-1)</f>
        <v>-8.8146490317603243E-3</v>
      </c>
      <c r="C66">
        <f>(Datenabzug!C66/Datenabzug!C65-1)</f>
        <v>-8.858549236402502E-3</v>
      </c>
      <c r="D66">
        <f>(Datenabzug!D66/Datenabzug!D65-1)</f>
        <v>-6.1125320498873759E-3</v>
      </c>
      <c r="E66">
        <f>(Datenabzug!E66/Datenabzug!E65-1)</f>
        <v>-2.0537077974908668E-2</v>
      </c>
      <c r="F66">
        <f>(Datenabzug!F66/Datenabzug!F65-1)</f>
        <v>-1.3948960916909336E-2</v>
      </c>
      <c r="G66">
        <f>(Datenabzug!G66/Datenabzug!G65-1)</f>
        <v>-3.4384721615360547E-2</v>
      </c>
      <c r="H66">
        <f>(Datenabzug!H66/Datenabzug!H65-1)</f>
        <v>-1.7679055626784734E-4</v>
      </c>
      <c r="I66">
        <f>(Datenabzug!I66/Datenabzug!I65-1)</f>
        <v>-1.2175768662349928E-2</v>
      </c>
      <c r="J66">
        <f>(Datenabzug!J66/Datenabzug!J65-1)</f>
        <v>1.6213301154368143E-2</v>
      </c>
      <c r="K66">
        <f>(Datenabzug!K66/Datenabzug!K65-1)</f>
        <v>-1.1065641701279771E-2</v>
      </c>
    </row>
    <row r="67" spans="1:11">
      <c r="A67" s="1">
        <v>45387</v>
      </c>
      <c r="B67">
        <f>(Datenabzug!B67/Datenabzug!B66-1)</f>
        <v>-8.1834198253161183E-4</v>
      </c>
      <c r="C67">
        <f>(Datenabzug!C67/Datenabzug!C66-1)</f>
        <v>3.5413675770743502E-3</v>
      </c>
      <c r="D67">
        <f>(Datenabzug!D67/Datenabzug!D66-1)</f>
        <v>1.828273043339701E-2</v>
      </c>
      <c r="E67">
        <f>(Datenabzug!E67/Datenabzug!E66-1)</f>
        <v>3.0851958348852682E-2</v>
      </c>
      <c r="F67">
        <f>(Datenabzug!F67/Datenabzug!F66-1)</f>
        <v>-2.5822489641457169E-3</v>
      </c>
      <c r="G67">
        <f>(Datenabzug!G67/Datenabzug!G66-1)</f>
        <v>2.4480556156015965E-2</v>
      </c>
      <c r="H67">
        <f>(Datenabzug!H67/Datenabzug!H66-1)</f>
        <v>-3.0061587921939026E-3</v>
      </c>
      <c r="I67">
        <f>(Datenabzug!I67/Datenabzug!I66-1)</f>
        <v>-8.7879894180838969E-3</v>
      </c>
      <c r="J67">
        <f>(Datenabzug!J67/Datenabzug!J66-1)</f>
        <v>-3.6292482565109196E-2</v>
      </c>
      <c r="K67">
        <f>(Datenabzug!K67/Datenabzug!K66-1)</f>
        <v>1.7347373759167173E-2</v>
      </c>
    </row>
    <row r="68" spans="1:11">
      <c r="A68" s="1">
        <v>45390</v>
      </c>
      <c r="B68">
        <f>(Datenabzug!B68/Datenabzug!B67-1)</f>
        <v>-8.6272897036184792E-3</v>
      </c>
      <c r="C68">
        <f>(Datenabzug!C68/Datenabzug!C67-1)</f>
        <v>-4.0329189268013543E-3</v>
      </c>
      <c r="D68">
        <f>(Datenabzug!D68/Datenabzug!D67-1)</f>
        <v>-2.1854944475747651E-3</v>
      </c>
      <c r="E68">
        <f>(Datenabzug!E68/Datenabzug!E67-1)</f>
        <v>-1.2213555315641389E-2</v>
      </c>
      <c r="F68">
        <f>(Datenabzug!F68/Datenabzug!F67-1)</f>
        <v>1.3057126336714964E-2</v>
      </c>
      <c r="G68">
        <f>(Datenabzug!G68/Datenabzug!G67-1)</f>
        <v>-9.9422468218585136E-3</v>
      </c>
      <c r="H68">
        <f>(Datenabzug!H68/Datenabzug!H67-1)</f>
        <v>2.6013319339739382E-3</v>
      </c>
      <c r="I68">
        <f>(Datenabzug!I68/Datenabzug!I67-1)</f>
        <v>3.9146775915732679E-3</v>
      </c>
      <c r="J68">
        <f>(Datenabzug!J68/Datenabzug!J67-1)</f>
        <v>4.8999406489530939E-2</v>
      </c>
      <c r="K68">
        <f>(Datenabzug!K68/Datenabzug!K67-1)</f>
        <v>-1.3102312872282251E-2</v>
      </c>
    </row>
    <row r="69" spans="1:11">
      <c r="A69" s="1">
        <v>45391</v>
      </c>
      <c r="B69">
        <f>(Datenabzug!B69/Datenabzug!B68-1)</f>
        <v>-1.8946918306142146E-2</v>
      </c>
      <c r="C69">
        <f>(Datenabzug!C69/Datenabzug!C68-1)</f>
        <v>7.5924090462695659E-3</v>
      </c>
      <c r="D69">
        <f>(Datenabzug!D69/Datenabzug!D68-1)</f>
        <v>3.9801924910942699E-3</v>
      </c>
      <c r="E69">
        <f>(Datenabzug!E69/Datenabzug!E68-1)</f>
        <v>-1.6247292967694116E-2</v>
      </c>
      <c r="F69">
        <f>(Datenabzug!F69/Datenabzug!F68-1)</f>
        <v>1.1111178720974557E-2</v>
      </c>
      <c r="G69">
        <f>(Datenabzug!G69/Datenabzug!G68-1)</f>
        <v>-2.0417212384697958E-2</v>
      </c>
      <c r="H69">
        <f>(Datenabzug!H69/Datenabzug!H68-1)</f>
        <v>6.0738271718845382E-3</v>
      </c>
      <c r="I69">
        <f>(Datenabzug!I69/Datenabzug!I68-1)</f>
        <v>-6.8812632824677422E-4</v>
      </c>
      <c r="J69">
        <f>(Datenabzug!J69/Datenabzug!J68-1)</f>
        <v>2.2546012554052197E-2</v>
      </c>
      <c r="K69">
        <f>(Datenabzug!K69/Datenabzug!K68-1)</f>
        <v>-8.5643142605655864E-3</v>
      </c>
    </row>
    <row r="70" spans="1:11">
      <c r="A70" s="1">
        <v>45392</v>
      </c>
      <c r="B70">
        <f>(Datenabzug!B70/Datenabzug!B69-1)</f>
        <v>-1.9593478161050393E-2</v>
      </c>
      <c r="C70">
        <f>(Datenabzug!C70/Datenabzug!C69-1)</f>
        <v>-1.339594567072E-2</v>
      </c>
      <c r="D70">
        <f>(Datenabzug!D70/Datenabzug!D69-1)</f>
        <v>-7.0845026531572985E-3</v>
      </c>
      <c r="E70">
        <f>(Datenabzug!E70/Datenabzug!E69-1)</f>
        <v>6.1469568959604537E-4</v>
      </c>
      <c r="F70">
        <f>(Datenabzug!F70/Datenabzug!F69-1)</f>
        <v>-2.1978068270486983E-2</v>
      </c>
      <c r="G70">
        <f>(Datenabzug!G70/Datenabzug!G69-1)</f>
        <v>1.9741455518548445E-2</v>
      </c>
      <c r="H70">
        <f>(Datenabzug!H70/Datenabzug!H69-1)</f>
        <v>-9.7298030561546733E-3</v>
      </c>
      <c r="I70">
        <f>(Datenabzug!I70/Datenabzug!I69-1)</f>
        <v>-1.3543133182326805E-2</v>
      </c>
      <c r="J70">
        <f>(Datenabzug!J70/Datenabzug!J69-1)</f>
        <v>-2.8946236061951347E-2</v>
      </c>
      <c r="K70">
        <f>(Datenabzug!K70/Datenabzug!K69-1)</f>
        <v>-4.7907438155586624E-3</v>
      </c>
    </row>
    <row r="71" spans="1:11">
      <c r="A71" s="1">
        <v>45393</v>
      </c>
      <c r="B71">
        <f>(Datenabzug!B71/Datenabzug!B70-1)</f>
        <v>-7.2725433027002184E-3</v>
      </c>
      <c r="C71">
        <f>(Datenabzug!C71/Datenabzug!C70-1)</f>
        <v>2.2063501113314121E-3</v>
      </c>
      <c r="D71">
        <f>(Datenabzug!D71/Datenabzug!D70-1)</f>
        <v>1.1033348314932745E-2</v>
      </c>
      <c r="E71">
        <f>(Datenabzug!E71/Datenabzug!E70-1)</f>
        <v>1.6489398178458403E-2</v>
      </c>
      <c r="F71">
        <f>(Datenabzug!F71/Datenabzug!F70-1)</f>
        <v>3.3707893811309564E-2</v>
      </c>
      <c r="G71">
        <f>(Datenabzug!G71/Datenabzug!G70-1)</f>
        <v>4.1096522257949353E-2</v>
      </c>
      <c r="H71">
        <f>(Datenabzug!H71/Datenabzug!H70-1)</f>
        <v>-3.4921241114937995E-3</v>
      </c>
      <c r="I71">
        <f>(Datenabzug!I71/Datenabzug!I70-1)</f>
        <v>-5.8145194867509353E-4</v>
      </c>
      <c r="J71">
        <f>(Datenabzug!J71/Datenabzug!J70-1)</f>
        <v>1.6534767626386948E-2</v>
      </c>
      <c r="K71">
        <f>(Datenabzug!K71/Datenabzug!K70-1)</f>
        <v>-1.3341872946063149E-2</v>
      </c>
    </row>
    <row r="72" spans="1:11">
      <c r="A72" s="1">
        <v>45394</v>
      </c>
      <c r="B72">
        <f>(Datenabzug!B72/Datenabzug!B71-1)</f>
        <v>-2.1977373933895317E-2</v>
      </c>
      <c r="C72">
        <f>(Datenabzug!C72/Datenabzug!C71-1)</f>
        <v>-1.303976611039892E-2</v>
      </c>
      <c r="D72">
        <f>(Datenabzug!D72/Datenabzug!D71-1)</f>
        <v>-1.4090976075078587E-2</v>
      </c>
      <c r="E72">
        <f>(Datenabzug!E72/Datenabzug!E71-1)</f>
        <v>-9.4627881449822482E-3</v>
      </c>
      <c r="F72">
        <f>(Datenabzug!F72/Datenabzug!F71-1)</f>
        <v>0</v>
      </c>
      <c r="G72">
        <f>(Datenabzug!G72/Datenabzug!G71-1)</f>
        <v>-2.681652229093523E-2</v>
      </c>
      <c r="H72">
        <f>(Datenabzug!H72/Datenabzug!H71-1)</f>
        <v>-1.5442292302277894E-3</v>
      </c>
      <c r="I72">
        <f>(Datenabzug!I72/Datenabzug!I71-1)</f>
        <v>-1.1408793626814684E-2</v>
      </c>
      <c r="J72">
        <f>(Datenabzug!J72/Datenabzug!J71-1)</f>
        <v>-2.0332204625773787E-2</v>
      </c>
      <c r="K72">
        <f>(Datenabzug!K72/Datenabzug!K71-1)</f>
        <v>0</v>
      </c>
    </row>
    <row r="73" spans="1:11">
      <c r="A73" s="1">
        <v>45397</v>
      </c>
      <c r="B73">
        <f>(Datenabzug!B73/Datenabzug!B72-1)</f>
        <v>-1.0203454416989222E-2</v>
      </c>
      <c r="C73">
        <f>(Datenabzug!C73/Datenabzug!C72-1)</f>
        <v>-2.4021411929731062E-3</v>
      </c>
      <c r="D73">
        <f>(Datenabzug!D73/Datenabzug!D72-1)</f>
        <v>-1.9578121246329627E-2</v>
      </c>
      <c r="E73">
        <f>(Datenabzug!E73/Datenabzug!E72-1)</f>
        <v>-2.5175396569749875E-2</v>
      </c>
      <c r="F73">
        <f>(Datenabzug!F73/Datenabzug!F72-1)</f>
        <v>1.1956661958154147E-2</v>
      </c>
      <c r="G73">
        <f>(Datenabzug!G73/Datenabzug!G72-1)</f>
        <v>-2.4777146497157121E-2</v>
      </c>
      <c r="H73">
        <f>(Datenabzug!H73/Datenabzug!H72-1)</f>
        <v>-6.8413956063997361E-3</v>
      </c>
      <c r="I73">
        <f>(Datenabzug!I73/Datenabzug!I72-1)</f>
        <v>2.9440990446427673E-3</v>
      </c>
      <c r="J73">
        <f>(Datenabzug!J73/Datenabzug!J72-1)</f>
        <v>-5.5948594875629754E-2</v>
      </c>
      <c r="K73">
        <f>(Datenabzug!K73/Datenabzug!K72-1)</f>
        <v>-6.9917005165075485E-3</v>
      </c>
    </row>
    <row r="74" spans="1:11">
      <c r="A74" s="1">
        <v>45398</v>
      </c>
      <c r="B74">
        <f>(Datenabzug!B74/Datenabzug!B73-1)</f>
        <v>1.6267403220074916E-2</v>
      </c>
      <c r="C74">
        <f>(Datenabzug!C74/Datenabzug!C73-1)</f>
        <v>-1.3760740199871835E-3</v>
      </c>
      <c r="D74">
        <f>(Datenabzug!D74/Datenabzug!D73-1)</f>
        <v>2.2725429400236585E-3</v>
      </c>
      <c r="E74">
        <f>(Datenabzug!E74/Datenabzug!E73-1)</f>
        <v>1.7079790332209299E-2</v>
      </c>
      <c r="F74">
        <f>(Datenabzug!F74/Datenabzug!F73-1)</f>
        <v>3.1147485604812175E-3</v>
      </c>
      <c r="G74">
        <f>(Datenabzug!G74/Datenabzug!G73-1)</f>
        <v>1.6441664890963104E-2</v>
      </c>
      <c r="H74">
        <f>(Datenabzug!H74/Datenabzug!H73-1)</f>
        <v>3.2944153902094708E-3</v>
      </c>
      <c r="I74">
        <f>(Datenabzug!I74/Datenabzug!I73-1)</f>
        <v>2.9352717536204054E-3</v>
      </c>
      <c r="J74">
        <f>(Datenabzug!J74/Datenabzug!J73-1)</f>
        <v>-2.7062145360477907E-2</v>
      </c>
      <c r="K74">
        <f>(Datenabzug!K74/Datenabzug!K73-1)</f>
        <v>-5.0291319843067672E-3</v>
      </c>
    </row>
    <row r="75" spans="1:11">
      <c r="A75" s="1">
        <v>45399</v>
      </c>
      <c r="B75">
        <f>(Datenabzug!B75/Datenabzug!B74-1)</f>
        <v>-1.9935287704850868E-3</v>
      </c>
      <c r="C75">
        <f>(Datenabzug!C75/Datenabzug!C74-1)</f>
        <v>7.7505713090377792E-3</v>
      </c>
      <c r="D75">
        <f>(Datenabzug!D75/Datenabzug!D74-1)</f>
        <v>-6.609190149422739E-3</v>
      </c>
      <c r="E75">
        <f>(Datenabzug!E75/Datenabzug!E74-1)</f>
        <v>-6.2022557467064088E-3</v>
      </c>
      <c r="F75">
        <f>(Datenabzug!F75/Datenabzug!F74-1)</f>
        <v>1.5526306618691255E-2</v>
      </c>
      <c r="G75">
        <f>(Datenabzug!G75/Datenabzug!G74-1)</f>
        <v>-3.8666041391940742E-2</v>
      </c>
      <c r="H75">
        <f>(Datenabzug!H75/Datenabzug!H74-1)</f>
        <v>1.1820990341716353E-2</v>
      </c>
      <c r="I75">
        <f>(Datenabzug!I75/Datenabzug!I74-1)</f>
        <v>9.2484231156333419E-3</v>
      </c>
      <c r="J75">
        <f>(Datenabzug!J75/Datenabzug!J74-1)</f>
        <v>-1.0565868854052085E-2</v>
      </c>
      <c r="K75">
        <f>(Datenabzug!K75/Datenabzug!K74-1)</f>
        <v>8.087379542333073E-3</v>
      </c>
    </row>
    <row r="76" spans="1:11">
      <c r="A76" s="1">
        <v>45400</v>
      </c>
      <c r="B76">
        <f>(Datenabzug!B76/Datenabzug!B75-1)</f>
        <v>1.1743735904801156E-4</v>
      </c>
      <c r="C76">
        <f>(Datenabzug!C76/Datenabzug!C75-1)</f>
        <v>6.8365233389544589E-3</v>
      </c>
      <c r="D76">
        <f>(Datenabzug!D76/Datenabzug!D75-1)</f>
        <v>-1.8380835972645282E-2</v>
      </c>
      <c r="E76">
        <f>(Datenabzug!E76/Datenabzug!E75-1)</f>
        <v>-5.1003028733744848E-3</v>
      </c>
      <c r="F76">
        <f>(Datenabzug!F76/Datenabzug!F75-1)</f>
        <v>9.48974082630194E-3</v>
      </c>
      <c r="G76">
        <f>(Datenabzug!G76/Datenabzug!G75-1)</f>
        <v>7.5682184596483904E-3</v>
      </c>
      <c r="H76">
        <f>(Datenabzug!H76/Datenabzug!H75-1)</f>
        <v>1.6462147331229637E-2</v>
      </c>
      <c r="I76">
        <f>(Datenabzug!I76/Datenabzug!I75-1)</f>
        <v>1.0903682175856799E-2</v>
      </c>
      <c r="J76">
        <f>(Datenabzug!J76/Datenabzug!J75-1)</f>
        <v>-3.5509838409960914E-2</v>
      </c>
      <c r="K76">
        <f>(Datenabzug!K76/Datenabzug!K75-1)</f>
        <v>1.4348095528758043E-2</v>
      </c>
    </row>
    <row r="77" spans="1:11">
      <c r="A77" s="1">
        <v>45401</v>
      </c>
      <c r="B77">
        <f>(Datenabzug!B77/Datenabzug!B76-1)</f>
        <v>-2.4084380756091983E-3</v>
      </c>
      <c r="C77">
        <f>(Datenabzug!C77/Datenabzug!C76-1)</f>
        <v>2.1388537874191815E-2</v>
      </c>
      <c r="D77">
        <f>(Datenabzug!D77/Datenabzug!D76-1)</f>
        <v>-1.2739035033907942E-2</v>
      </c>
      <c r="E77">
        <f>(Datenabzug!E77/Datenabzug!E76-1)</f>
        <v>-9.0932946398804892E-2</v>
      </c>
      <c r="F77">
        <f>(Datenabzug!F77/Datenabzug!F76-1)</f>
        <v>-1.2638420671364448E-2</v>
      </c>
      <c r="G77">
        <f>(Datenabzug!G77/Datenabzug!G76-1)</f>
        <v>-0.10004596351710093</v>
      </c>
      <c r="H77">
        <f>(Datenabzug!H77/Datenabzug!H76-1)</f>
        <v>1.0797053550674507E-2</v>
      </c>
      <c r="I77">
        <f>(Datenabzug!I77/Datenabzug!I76-1)</f>
        <v>5.2781762424292111E-3</v>
      </c>
      <c r="J77">
        <f>(Datenabzug!J77/Datenabzug!J76-1)</f>
        <v>-1.9208895916188684E-2</v>
      </c>
      <c r="K77">
        <f>(Datenabzug!K77/Datenabzug!K76-1)</f>
        <v>5.8173952721629618E-3</v>
      </c>
    </row>
    <row r="78" spans="1:11">
      <c r="A78" s="1">
        <v>45404</v>
      </c>
      <c r="B78">
        <f>(Datenabzug!B78/Datenabzug!B77-1)</f>
        <v>3.8863995692861586E-3</v>
      </c>
      <c r="C78">
        <f>(Datenabzug!C78/Datenabzug!C77-1)</f>
        <v>6.3154356206516216E-3</v>
      </c>
      <c r="D78">
        <f>(Datenabzug!D78/Datenabzug!D77-1)</f>
        <v>4.6100926495378225E-3</v>
      </c>
      <c r="E78">
        <f>(Datenabzug!E78/Datenabzug!E77-1)</f>
        <v>-7.9274008868646106E-4</v>
      </c>
      <c r="F78">
        <f>(Datenabzug!F78/Datenabzug!F77-1)</f>
        <v>-3.5966409171414027E-3</v>
      </c>
      <c r="G78">
        <f>(Datenabzug!G78/Datenabzug!G77-1)</f>
        <v>4.3543218840525588E-2</v>
      </c>
      <c r="H78">
        <f>(Datenabzug!H78/Datenabzug!H77-1)</f>
        <v>1.338078121119568E-2</v>
      </c>
      <c r="I78">
        <f>(Datenabzug!I78/Datenabzug!I77-1)</f>
        <v>6.5061751377533117E-3</v>
      </c>
      <c r="J78">
        <f>(Datenabzug!J78/Datenabzug!J77-1)</f>
        <v>-3.4002039416756502E-2</v>
      </c>
      <c r="K78">
        <f>(Datenabzug!K78/Datenabzug!K77-1)</f>
        <v>2.4575370480786063E-3</v>
      </c>
    </row>
    <row r="79" spans="1:11">
      <c r="A79" s="1">
        <v>45405</v>
      </c>
      <c r="B79">
        <f>(Datenabzug!B79/Datenabzug!B78-1)</f>
        <v>-7.6255460132441666E-3</v>
      </c>
      <c r="C79">
        <f>(Datenabzug!C79/Datenabzug!C78-1)</f>
        <v>1.4863688100148487E-3</v>
      </c>
      <c r="D79">
        <f>(Datenabzug!D79/Datenabzug!D78-1)</f>
        <v>1.6485552984378149E-2</v>
      </c>
      <c r="E79">
        <f>(Datenabzug!E79/Datenabzug!E78-1)</f>
        <v>4.1741841747477304E-2</v>
      </c>
      <c r="F79">
        <f>(Datenabzug!F79/Datenabzug!F78-1)</f>
        <v>-1.8050608983788408E-3</v>
      </c>
      <c r="G79">
        <f>(Datenabzug!G79/Datenabzug!G78-1)</f>
        <v>3.6532642711438967E-2</v>
      </c>
      <c r="H79">
        <f>(Datenabzug!H79/Datenabzug!H78-1)</f>
        <v>-2.9695156452224425E-2</v>
      </c>
      <c r="I79">
        <f>(Datenabzug!I79/Datenabzug!I78-1)</f>
        <v>-3.5156562725162654E-3</v>
      </c>
      <c r="J79">
        <f>(Datenabzug!J79/Datenabzug!J78-1)</f>
        <v>1.8514534090265045E-2</v>
      </c>
      <c r="K79">
        <f>(Datenabzug!K79/Datenabzug!K78-1)</f>
        <v>-5.6191102549727479E-3</v>
      </c>
    </row>
    <row r="80" spans="1:11">
      <c r="A80" s="1">
        <v>45406</v>
      </c>
      <c r="B80">
        <f>(Datenabzug!B80/Datenabzug!B79-1)</f>
        <v>-2.8667638341973389E-2</v>
      </c>
      <c r="C80">
        <f>(Datenabzug!C80/Datenabzug!C79-1)</f>
        <v>1.5006643693658228E-2</v>
      </c>
      <c r="D80">
        <f>(Datenabzug!D80/Datenabzug!D79-1)</f>
        <v>3.6556927603528244E-3</v>
      </c>
      <c r="E80">
        <f>(Datenabzug!E80/Datenabzug!E79-1)</f>
        <v>-3.9169199277910738E-2</v>
      </c>
      <c r="F80">
        <f>(Datenabzug!F80/Datenabzug!F79-1)</f>
        <v>6.5944118828882292E-3</v>
      </c>
      <c r="G80">
        <f>(Datenabzug!G80/Datenabzug!G79-1)</f>
        <v>-3.3315896612747697E-2</v>
      </c>
      <c r="H80">
        <f>(Datenabzug!H80/Datenabzug!H79-1)</f>
        <v>3.615236333037819E-2</v>
      </c>
      <c r="I80">
        <f>(Datenabzug!I80/Datenabzug!I79-1)</f>
        <v>1.0014894299430255E-2</v>
      </c>
      <c r="J80">
        <f>(Datenabzug!J80/Datenabzug!J79-1)</f>
        <v>0.12061109407252601</v>
      </c>
      <c r="K80">
        <f>(Datenabzug!K80/Datenabzug!K79-1)</f>
        <v>3.0340701157176575E-3</v>
      </c>
    </row>
    <row r="81" spans="1:11">
      <c r="A81" s="1">
        <v>45407</v>
      </c>
      <c r="B81">
        <f>(Datenabzug!B81/Datenabzug!B80-1)</f>
        <v>1.5091557840354985E-2</v>
      </c>
      <c r="C81">
        <f>(Datenabzug!C81/Datenabzug!C80-1)</f>
        <v>3.0870155770188479E-3</v>
      </c>
      <c r="D81">
        <f>(Datenabzug!D81/Datenabzug!D80-1)</f>
        <v>-2.4495145818981268E-2</v>
      </c>
      <c r="E81">
        <f>(Datenabzug!E81/Datenabzug!E80-1)</f>
        <v>1.7437658093611752E-2</v>
      </c>
      <c r="F81">
        <f>(Datenabzug!F81/Datenabzug!F80-1)</f>
        <v>-7.3963786561637157E-3</v>
      </c>
      <c r="G81">
        <f>(Datenabzug!G81/Datenabzug!G80-1)</f>
        <v>3.7087271148966927E-2</v>
      </c>
      <c r="H81">
        <f>(Datenabzug!H81/Datenabzug!H80-1)</f>
        <v>-4.1148828574578689E-3</v>
      </c>
      <c r="I81">
        <f>(Datenabzug!I81/Datenabzug!I80-1)</f>
        <v>-1.0253561678725376E-2</v>
      </c>
      <c r="J81">
        <f>(Datenabzug!J81/Datenabzug!J80-1)</f>
        <v>4.9651437430027645E-2</v>
      </c>
      <c r="K81">
        <f>(Datenabzug!K81/Datenabzug!K80-1)</f>
        <v>-2.8584337014260552E-2</v>
      </c>
    </row>
    <row r="82" spans="1:11">
      <c r="A82" s="1">
        <v>45408</v>
      </c>
      <c r="B82">
        <f>(Datenabzug!B82/Datenabzug!B81-1)</f>
        <v>2.4579082076059411E-3</v>
      </c>
      <c r="C82">
        <f>(Datenabzug!C82/Datenabzug!C81-1)</f>
        <v>0</v>
      </c>
      <c r="D82">
        <f>(Datenabzug!D82/Datenabzug!D81-1)</f>
        <v>1.824380364198297E-2</v>
      </c>
      <c r="E82">
        <f>(Datenabzug!E82/Datenabzug!E81-1)</f>
        <v>-6.3208346341653288E-3</v>
      </c>
      <c r="F82">
        <f>(Datenabzug!F82/Datenabzug!F81-1)</f>
        <v>1.91604815879165E-3</v>
      </c>
      <c r="G82">
        <f>(Datenabzug!G82/Datenabzug!G81-1)</f>
        <v>6.1755704764441255E-2</v>
      </c>
      <c r="H82">
        <f>(Datenabzug!H82/Datenabzug!H81-1)</f>
        <v>-6.2257945285774108E-3</v>
      </c>
      <c r="I82">
        <f>(Datenabzug!I82/Datenabzug!I81-1)</f>
        <v>4.6675053830997904E-3</v>
      </c>
      <c r="J82">
        <f>(Datenabzug!J82/Datenabzug!J81-1)</f>
        <v>-1.110588477489094E-2</v>
      </c>
      <c r="K82">
        <f>(Datenabzug!K82/Datenabzug!K81-1)</f>
        <v>-2.3236886231442933E-2</v>
      </c>
    </row>
    <row r="83" spans="1:11">
      <c r="A83" s="1">
        <v>45411</v>
      </c>
      <c r="B83">
        <f>(Datenabzug!B83/Datenabzug!B82-1)</f>
        <v>3.7495540166786689E-2</v>
      </c>
      <c r="C83">
        <f>(Datenabzug!C83/Datenabzug!C82-1)</f>
        <v>4.8590659391016811E-3</v>
      </c>
      <c r="D83">
        <f>(Datenabzug!D83/Datenabzug!D82-1)</f>
        <v>-1.001667955473573E-2</v>
      </c>
      <c r="E83">
        <f>(Datenabzug!E83/Datenabzug!E82-1)</f>
        <v>-3.1003159042247708E-3</v>
      </c>
      <c r="F83">
        <f>(Datenabzug!F83/Datenabzug!F82-1)</f>
        <v>-6.3754443485131151E-4</v>
      </c>
      <c r="G83">
        <f>(Datenabzug!G83/Datenabzug!G82-1)</f>
        <v>2.5063012031178999E-4</v>
      </c>
      <c r="H83">
        <f>(Datenabzug!H83/Datenabzug!H82-1)</f>
        <v>3.1893186331044543E-3</v>
      </c>
      <c r="I83">
        <f>(Datenabzug!I83/Datenabzug!I82-1)</f>
        <v>9.0663013124259173E-4</v>
      </c>
      <c r="J83">
        <f>(Datenabzug!J83/Datenabzug!J82-1)</f>
        <v>0.1530691710339962</v>
      </c>
      <c r="K83">
        <f>(Datenabzug!K83/Datenabzug!K82-1)</f>
        <v>5.897522128513355E-3</v>
      </c>
    </row>
    <row r="84" spans="1:11">
      <c r="A84" s="1">
        <v>45412</v>
      </c>
      <c r="B84">
        <f>(Datenabzug!B84/Datenabzug!B83-1)</f>
        <v>-3.2566770282894675E-2</v>
      </c>
      <c r="C84">
        <f>(Datenabzug!C84/Datenabzug!C83-1)</f>
        <v>-4.352076405826355E-3</v>
      </c>
      <c r="D84">
        <f>(Datenabzug!D84/Datenabzug!D83-1)</f>
        <v>-3.2119486969876765E-2</v>
      </c>
      <c r="E84">
        <f>(Datenabzug!E84/Datenabzug!E83-1)</f>
        <v>-1.581793372608975E-2</v>
      </c>
      <c r="F84">
        <f>(Datenabzug!F84/Datenabzug!F83-1)</f>
        <v>-1.913653851528252E-2</v>
      </c>
      <c r="G84">
        <f>(Datenabzug!G84/Datenabzug!G83-1)</f>
        <v>-1.5440287050479728E-2</v>
      </c>
      <c r="H84">
        <f>(Datenabzug!H84/Datenabzug!H83-1)</f>
        <v>-1.3057149302799775E-3</v>
      </c>
      <c r="I84">
        <f>(Datenabzug!I84/Datenabzug!I83-1)</f>
        <v>1.8112610019438424E-3</v>
      </c>
      <c r="J84">
        <f>(Datenabzug!J84/Datenabzug!J83-1)</f>
        <v>-5.5501180639447978E-2</v>
      </c>
      <c r="K84">
        <f>(Datenabzug!K84/Datenabzug!K83-1)</f>
        <v>-5.1102897708384942E-3</v>
      </c>
    </row>
    <row r="85" spans="1:11">
      <c r="A85" s="1">
        <v>45413</v>
      </c>
      <c r="B85">
        <f>(Datenabzug!B85/Datenabzug!B84-1)</f>
        <v>2.1568222443768992E-2</v>
      </c>
      <c r="C85">
        <f>(Datenabzug!C85/Datenabzug!C84-1)</f>
        <v>2.5902860876749756E-3</v>
      </c>
      <c r="D85">
        <f>(Datenabzug!D85/Datenabzug!D84-1)</f>
        <v>1.440934435706831E-2</v>
      </c>
      <c r="E85">
        <f>(Datenabzug!E85/Datenabzug!E84-1)</f>
        <v>1.9432066245714807E-3</v>
      </c>
      <c r="F85">
        <f>(Datenabzug!F85/Datenabzug!F84-1)</f>
        <v>-2.0810939703148068E-2</v>
      </c>
      <c r="G85">
        <f>(Datenabzug!G85/Datenabzug!G84-1)</f>
        <v>-3.8899676221030188E-2</v>
      </c>
      <c r="H85">
        <f>(Datenabzug!H85/Datenabzug!H84-1)</f>
        <v>-4.3204096474315223E-3</v>
      </c>
      <c r="I85">
        <f>(Datenabzug!I85/Datenabzug!I84-1)</f>
        <v>-0.15877486804709706</v>
      </c>
      <c r="J85">
        <f>(Datenabzug!J85/Datenabzug!J84-1)</f>
        <v>-1.7950640048256306E-2</v>
      </c>
      <c r="K85">
        <f>(Datenabzug!K85/Datenabzug!K84-1)</f>
        <v>1.4175389657628656E-2</v>
      </c>
    </row>
    <row r="86" spans="1:11">
      <c r="A86" s="1">
        <v>45414</v>
      </c>
      <c r="B86">
        <f>(Datenabzug!B86/Datenabzug!B85-1)</f>
        <v>4.3100426340122899E-2</v>
      </c>
      <c r="C86">
        <f>(Datenabzug!C86/Datenabzug!C85-1)</f>
        <v>9.6876782737620459E-4</v>
      </c>
      <c r="D86">
        <f>(Datenabzug!D86/Datenabzug!D85-1)</f>
        <v>7.3429365490254028E-3</v>
      </c>
      <c r="E86">
        <f>(Datenabzug!E86/Datenabzug!E85-1)</f>
        <v>2.4360627695960479E-2</v>
      </c>
      <c r="F86">
        <f>(Datenabzug!F86/Datenabzug!F85-1)</f>
        <v>2.2913531212175098E-2</v>
      </c>
      <c r="G86">
        <f>(Datenabzug!G86/Datenabzug!G85-1)</f>
        <v>3.3429356458785309E-2</v>
      </c>
      <c r="H86">
        <f>(Datenabzug!H86/Datenabzug!H85-1)</f>
        <v>1.7127842540740623E-3</v>
      </c>
      <c r="I86">
        <f>(Datenabzug!I86/Datenabzug!I85-1)</f>
        <v>6.5824269279266545E-3</v>
      </c>
      <c r="J86">
        <f>(Datenabzug!J86/Datenabzug!J85-1)</f>
        <v>1.1105624235208111E-4</v>
      </c>
      <c r="K86">
        <f>(Datenabzug!K86/Datenabzug!K85-1)</f>
        <v>-8.6768763828786177E-3</v>
      </c>
    </row>
    <row r="87" spans="1:11">
      <c r="A87" s="1">
        <v>45415</v>
      </c>
      <c r="B87">
        <f>(Datenabzug!B87/Datenabzug!B86-1)</f>
        <v>5.2557291056112287E-3</v>
      </c>
      <c r="C87">
        <f>(Datenabzug!C87/Datenabzug!C86-1)</f>
        <v>2.9036821590135986E-3</v>
      </c>
      <c r="D87">
        <f>(Datenabzug!D87/Datenabzug!D86-1)</f>
        <v>2.2169767270060259E-2</v>
      </c>
      <c r="E87">
        <f>(Datenabzug!E87/Datenabzug!E86-1)</f>
        <v>2.51083815419062E-2</v>
      </c>
      <c r="F87">
        <f>(Datenabzug!F87/Datenabzug!F86-1)</f>
        <v>-2.8135889386692314E-3</v>
      </c>
      <c r="G87">
        <f>(Datenabzug!G87/Datenabzug!G86-1)</f>
        <v>3.4631834809267348E-2</v>
      </c>
      <c r="H87">
        <f>(Datenabzug!H87/Datenabzug!H86-1)</f>
        <v>3.9896934433472087E-3</v>
      </c>
      <c r="I87">
        <f>(Datenabzug!I87/Datenabzug!I86-1)</f>
        <v>-2.4289433290018758E-2</v>
      </c>
      <c r="J87">
        <f>(Datenabzug!J87/Datenabzug!J86-1)</f>
        <v>6.5552356567968317E-3</v>
      </c>
      <c r="K87">
        <f>(Datenabzug!K87/Datenabzug!K86-1)</f>
        <v>-1.9802887566868765E-3</v>
      </c>
    </row>
    <row r="88" spans="1:11">
      <c r="A88" s="1">
        <v>45418</v>
      </c>
      <c r="B88">
        <f>(Datenabzug!B88/Datenabzug!B87-1)</f>
        <v>-8.0092732431736868E-3</v>
      </c>
      <c r="C88">
        <f>(Datenabzug!C88/Datenabzug!C87-1)</f>
        <v>2.8953388436825378E-3</v>
      </c>
      <c r="D88">
        <f>(Datenabzug!D88/Datenabzug!D87-1)</f>
        <v>1.6918332602665176E-2</v>
      </c>
      <c r="E88">
        <f>(Datenabzug!E88/Datenabzug!E87-1)</f>
        <v>3.0431081973307794E-2</v>
      </c>
      <c r="F88">
        <f>(Datenabzug!F88/Datenabzug!F87-1)</f>
        <v>1.3130791903980699E-2</v>
      </c>
      <c r="G88">
        <f>(Datenabzug!G88/Datenabzug!G87-1)</f>
        <v>3.7741032694493803E-2</v>
      </c>
      <c r="H88">
        <f>(Datenabzug!H88/Datenabzug!H87-1)</f>
        <v>-1.8732675080603833E-3</v>
      </c>
      <c r="I88">
        <f>(Datenabzug!I88/Datenabzug!I87-1)</f>
        <v>-2.8723294653391074E-3</v>
      </c>
      <c r="J88">
        <f>(Datenabzug!J88/Datenabzug!J87-1)</f>
        <v>1.9703030064164295E-2</v>
      </c>
      <c r="K88">
        <f>(Datenabzug!K88/Datenabzug!K87-1)</f>
        <v>4.2858323829573219E-3</v>
      </c>
    </row>
    <row r="89" spans="1:11">
      <c r="A89" s="1">
        <v>45419</v>
      </c>
      <c r="B89">
        <f>(Datenabzug!B89/Datenabzug!B88-1)</f>
        <v>-9.1953985619498413E-3</v>
      </c>
      <c r="C89">
        <f>(Datenabzug!C89/Datenabzug!C88-1)</f>
        <v>4.3303748974563572E-3</v>
      </c>
      <c r="D89">
        <f>(Datenabzug!D89/Datenabzug!D88-1)</f>
        <v>-1.015624540220883E-2</v>
      </c>
      <c r="E89">
        <f>(Datenabzug!E89/Datenabzug!E88-1)</f>
        <v>1.51264380790197E-2</v>
      </c>
      <c r="F89">
        <f>(Datenabzug!F89/Datenabzug!F88-1)</f>
        <v>4.4987216541154673E-3</v>
      </c>
      <c r="G89">
        <f>(Datenabzug!G89/Datenabzug!G88-1)</f>
        <v>-1.721281688697629E-2</v>
      </c>
      <c r="H89">
        <f>(Datenabzug!H89/Datenabzug!H88-1)</f>
        <v>1.2512673862178803E-2</v>
      </c>
      <c r="I89">
        <f>(Datenabzug!I89/Datenabzug!I88-1)</f>
        <v>-5.4869049967171124E-3</v>
      </c>
      <c r="J89">
        <f>(Datenabzug!J89/Datenabzug!J88-1)</f>
        <v>-3.7616351780010882E-2</v>
      </c>
      <c r="K89">
        <f>(Datenabzug!K89/Datenabzug!K88-1)</f>
        <v>7.0731164718416117E-3</v>
      </c>
    </row>
    <row r="90" spans="1:11">
      <c r="A90" s="1">
        <v>45420</v>
      </c>
      <c r="B90">
        <f>(Datenabzug!B90/Datenabzug!B89-1)</f>
        <v>2.0598716831820241E-2</v>
      </c>
      <c r="C90">
        <f>(Datenabzug!C90/Datenabzug!C89-1)</f>
        <v>3.6728905758784958E-3</v>
      </c>
      <c r="D90">
        <f>(Datenabzug!D90/Datenabzug!D89-1)</f>
        <v>2.9316117806341691E-3</v>
      </c>
      <c r="E90">
        <f>(Datenabzug!E90/Datenabzug!E89-1)</f>
        <v>5.7260242625825075E-3</v>
      </c>
      <c r="F90">
        <f>(Datenabzug!F90/Datenabzug!F89-1)</f>
        <v>-2.0259320976978579E-3</v>
      </c>
      <c r="G90">
        <f>(Datenabzug!G90/Datenabzug!G89-1)</f>
        <v>-1.5681404433501855E-3</v>
      </c>
      <c r="H90">
        <f>(Datenabzug!H90/Datenabzug!H89-1)</f>
        <v>-3.4264819989056061E-3</v>
      </c>
      <c r="I90">
        <f>(Datenabzug!I90/Datenabzug!I89-1)</f>
        <v>1.3793051734295458E-2</v>
      </c>
      <c r="J90">
        <f>(Datenabzug!J90/Datenabzug!J89-1)</f>
        <v>-1.7378079862307882E-2</v>
      </c>
      <c r="K90">
        <f>(Datenabzug!K90/Datenabzug!K89-1)</f>
        <v>-7.4549745317384897E-3</v>
      </c>
    </row>
    <row r="91" spans="1:11">
      <c r="A91" s="1">
        <v>45421</v>
      </c>
      <c r="B91">
        <f>(Datenabzug!B91/Datenabzug!B90-1)</f>
        <v>4.9902626339166645E-3</v>
      </c>
      <c r="C91">
        <f>(Datenabzug!C91/Datenabzug!C90-1)</f>
        <v>4.7738797074181605E-4</v>
      </c>
      <c r="D91">
        <f>(Datenabzug!D91/Datenabzug!D90-1)</f>
        <v>4.335750154415674E-3</v>
      </c>
      <c r="E91">
        <f>(Datenabzug!E91/Datenabzug!E90-1)</f>
        <v>4.2989093446561544E-3</v>
      </c>
      <c r="F91">
        <f>(Datenabzug!F91/Datenabzug!F90-1)</f>
        <v>-2.1371268742489402E-3</v>
      </c>
      <c r="G91">
        <f>(Datenabzug!G91/Datenabzug!G90-1)</f>
        <v>-1.8415693843690351E-2</v>
      </c>
      <c r="H91">
        <f>(Datenabzug!H91/Datenabzug!H90-1)</f>
        <v>3.6637731014079744E-3</v>
      </c>
      <c r="I91">
        <f>(Datenabzug!I91/Datenabzug!I90-1)</f>
        <v>2.9659885034700961E-2</v>
      </c>
      <c r="J91">
        <f>(Datenabzug!J91/Datenabzug!J90-1)</f>
        <v>-1.5739468754503161E-2</v>
      </c>
      <c r="K91">
        <f>(Datenabzug!K91/Datenabzug!K90-1)</f>
        <v>1.0475913261115855E-2</v>
      </c>
    </row>
    <row r="92" spans="1:11">
      <c r="A92" s="1">
        <v>45422</v>
      </c>
      <c r="B92">
        <f>(Datenabzug!B92/Datenabzug!B91-1)</f>
        <v>-1.5117271686427625E-2</v>
      </c>
      <c r="C92">
        <f>(Datenabzug!C92/Datenabzug!C91-1)</f>
        <v>6.0431899495203556E-3</v>
      </c>
      <c r="D92">
        <f>(Datenabzug!D92/Datenabzug!D91-1)</f>
        <v>5.8691140934201691E-3</v>
      </c>
      <c r="E92">
        <f>(Datenabzug!E92/Datenabzug!E91-1)</f>
        <v>-1.9932227037723349E-3</v>
      </c>
      <c r="F92">
        <f>(Datenabzug!F92/Datenabzug!F91-1)</f>
        <v>-2.623390496818967E-2</v>
      </c>
      <c r="G92">
        <f>(Datenabzug!G92/Datenabzug!G91-1)</f>
        <v>1.274414071738561E-2</v>
      </c>
      <c r="H92">
        <f>(Datenabzug!H92/Datenabzug!H91-1)</f>
        <v>9.7158670384318579E-3</v>
      </c>
      <c r="I92">
        <f>(Datenabzug!I92/Datenabzug!I91-1)</f>
        <v>5.6817939294047104E-3</v>
      </c>
      <c r="J92">
        <f>(Datenabzug!J92/Datenabzug!J91-1)</f>
        <v>-2.0352386899783581E-2</v>
      </c>
      <c r="K92">
        <f>(Datenabzug!K92/Datenabzug!K91-1)</f>
        <v>5.1640210639967155E-3</v>
      </c>
    </row>
    <row r="93" spans="1:11">
      <c r="A93" s="1">
        <v>45425</v>
      </c>
      <c r="B93">
        <f>(Datenabzug!B93/Datenabzug!B92-1)</f>
        <v>-3.9209045758126226E-4</v>
      </c>
      <c r="C93">
        <f>(Datenabzug!C93/Datenabzug!C92-1)</f>
        <v>5.0585515014536231E-3</v>
      </c>
      <c r="D93">
        <f>(Datenabzug!D93/Datenabzug!D92-1)</f>
        <v>-2.459273208556545E-3</v>
      </c>
      <c r="E93">
        <f>(Datenabzug!E93/Datenabzug!E92-1)</f>
        <v>9.3637464337785747E-3</v>
      </c>
      <c r="F93">
        <f>(Datenabzug!F93/Datenabzug!F92-1)</f>
        <v>1.9573360917489069E-2</v>
      </c>
      <c r="G93">
        <f>(Datenabzug!G93/Datenabzug!G92-1)</f>
        <v>5.7967177097570932E-3</v>
      </c>
      <c r="H93">
        <f>(Datenabzug!H93/Datenabzug!H92-1)</f>
        <v>6.1737758590842962E-3</v>
      </c>
      <c r="I93">
        <f>(Datenabzug!I93/Datenabzug!I92-1)</f>
        <v>9.1966940348831017E-4</v>
      </c>
      <c r="J93">
        <f>(Datenabzug!J93/Datenabzug!J92-1)</f>
        <v>2.0300339194897044E-2</v>
      </c>
      <c r="K93">
        <f>(Datenabzug!K93/Datenabzug!K92-1)</f>
        <v>-1.2649289398648844E-2</v>
      </c>
    </row>
    <row r="94" spans="1:11">
      <c r="A94" s="1">
        <v>45426</v>
      </c>
      <c r="B94">
        <f>(Datenabzug!B94/Datenabzug!B93-1)</f>
        <v>1.3001524510687146E-2</v>
      </c>
      <c r="C94">
        <f>(Datenabzug!C94/Datenabzug!C93-1)</f>
        <v>-7.5495747922756928E-3</v>
      </c>
      <c r="D94">
        <f>(Datenabzug!D94/Datenabzug!D93-1)</f>
        <v>6.8645627364323225E-3</v>
      </c>
      <c r="E94">
        <f>(Datenabzug!E94/Datenabzug!E93-1)</f>
        <v>-4.7520290360190121E-3</v>
      </c>
      <c r="F94">
        <f>(Datenabzug!F94/Datenabzug!F93-1)</f>
        <v>7.5483568190826134E-4</v>
      </c>
      <c r="G94">
        <f>(Datenabzug!G94/Datenabzug!G93-1)</f>
        <v>1.0586485397790169E-2</v>
      </c>
      <c r="H94">
        <f>(Datenabzug!H94/Datenabzug!H93-1)</f>
        <v>-5.6936636437756594E-3</v>
      </c>
      <c r="I94">
        <f>(Datenabzug!I94/Datenabzug!I93-1)</f>
        <v>-7.2197629569603627E-3</v>
      </c>
      <c r="J94">
        <f>(Datenabzug!J94/Datenabzug!J93-1)</f>
        <v>3.2928056793336991E-2</v>
      </c>
      <c r="K94">
        <f>(Datenabzug!K94/Datenabzug!K93-1)</f>
        <v>8.2782831674532709E-4</v>
      </c>
    </row>
    <row r="95" spans="1:11">
      <c r="A95" s="1">
        <v>45427</v>
      </c>
      <c r="B95">
        <f>(Datenabzug!B95/Datenabzug!B94-1)</f>
        <v>-2.0856324011054528E-2</v>
      </c>
      <c r="C95">
        <f>(Datenabzug!C95/Datenabzug!C94-1)</f>
        <v>4.7549656407763763E-4</v>
      </c>
      <c r="D95">
        <f>(Datenabzug!D95/Datenabzug!D94-1)</f>
        <v>1.7483812743069205E-2</v>
      </c>
      <c r="E95">
        <f>(Datenabzug!E95/Datenabzug!E94-1)</f>
        <v>-2.2806378027862007E-4</v>
      </c>
      <c r="F95">
        <f>(Datenabzug!F95/Datenabzug!F94-1)</f>
        <v>-1.2070284874237114E-2</v>
      </c>
      <c r="G95">
        <f>(Datenabzug!G95/Datenabzug!G94-1)</f>
        <v>3.5837736905204087E-2</v>
      </c>
      <c r="H95">
        <f>(Datenabzug!H95/Datenabzug!H94-1)</f>
        <v>-2.2793766832600593E-3</v>
      </c>
      <c r="I95">
        <f>(Datenabzug!I95/Datenabzug!I94-1)</f>
        <v>9.2550632509169617E-4</v>
      </c>
      <c r="J95">
        <f>(Datenabzug!J95/Datenabzug!J94-1)</f>
        <v>-2.0050675851327471E-2</v>
      </c>
      <c r="K95">
        <f>(Datenabzug!K95/Datenabzug!K94-1)</f>
        <v>6.8534144058916002E-3</v>
      </c>
    </row>
    <row r="96" spans="1:11">
      <c r="A96" s="1">
        <v>45428</v>
      </c>
      <c r="B96">
        <f>(Datenabzug!B96/Datenabzug!B95-1)</f>
        <v>3.373072509980557E-2</v>
      </c>
      <c r="C96">
        <f>(Datenabzug!C96/Datenabzug!C95-1)</f>
        <v>3.0096918093134306E-3</v>
      </c>
      <c r="D96">
        <f>(Datenabzug!D96/Datenabzug!D95-1)</f>
        <v>-4.9398888007153863E-3</v>
      </c>
      <c r="E96">
        <f>(Datenabzug!E96/Datenabzug!E95-1)</f>
        <v>-4.8898159872470259E-3</v>
      </c>
      <c r="F96">
        <f>(Datenabzug!F96/Datenabzug!F95-1)</f>
        <v>1.0907735966732002E-3</v>
      </c>
      <c r="G96">
        <f>(Datenabzug!G96/Datenabzug!G95-1)</f>
        <v>-2.8638354214508555E-3</v>
      </c>
      <c r="H96">
        <f>(Datenabzug!H96/Datenabzug!H95-1)</f>
        <v>2.0338767177235484E-2</v>
      </c>
      <c r="I96">
        <f>(Datenabzug!I96/Datenabzug!I95-1)</f>
        <v>1.9966790015855107E-3</v>
      </c>
      <c r="J96">
        <f>(Datenabzug!J96/Datenabzug!J95-1)</f>
        <v>4.8852854640515364E-3</v>
      </c>
      <c r="K96">
        <f>(Datenabzug!K96/Datenabzug!K95-1)</f>
        <v>2.9339158834267298E-3</v>
      </c>
    </row>
    <row r="97" spans="1:11">
      <c r="A97" s="1">
        <v>45429</v>
      </c>
      <c r="B97">
        <f>(Datenabzug!B97/Datenabzug!B96-1)</f>
        <v>1.0876640584557729E-2</v>
      </c>
      <c r="C97">
        <f>(Datenabzug!C97/Datenabzug!C96-1)</f>
        <v>-4.5799756072898434E-3</v>
      </c>
      <c r="D97">
        <f>(Datenabzug!D97/Datenabzug!D96-1)</f>
        <v>-1.8527339476523963E-3</v>
      </c>
      <c r="E97">
        <f>(Datenabzug!E97/Datenabzug!E96-1)</f>
        <v>1.7329417080884868E-2</v>
      </c>
      <c r="F97">
        <f>(Datenabzug!F97/Datenabzug!F96-1)</f>
        <v>4.4678871622563232E-3</v>
      </c>
      <c r="G97">
        <f>(Datenabzug!G97/Datenabzug!G96-1)</f>
        <v>-1.99239644481497E-2</v>
      </c>
      <c r="H97">
        <f>(Datenabzug!H97/Datenabzug!H96-1)</f>
        <v>-5.0244016875066189E-3</v>
      </c>
      <c r="I97">
        <f>(Datenabzug!I97/Datenabzug!I96-1)</f>
        <v>3.4139221853888069E-2</v>
      </c>
      <c r="J97">
        <f>(Datenabzug!J97/Datenabzug!J96-1)</f>
        <v>1.498518892046663E-2</v>
      </c>
      <c r="K97">
        <f>(Datenabzug!K97/Datenabzug!K96-1)</f>
        <v>3.9783540808191464E-3</v>
      </c>
    </row>
    <row r="98" spans="1:11">
      <c r="A98" s="1">
        <v>45432</v>
      </c>
      <c r="B98">
        <f>(Datenabzug!B98/Datenabzug!B97-1)</f>
        <v>8.975418705054361E-3</v>
      </c>
      <c r="C98">
        <f>(Datenabzug!C98/Datenabzug!C97-1)</f>
        <v>-7.2981236230246216E-3</v>
      </c>
      <c r="D98">
        <f>(Datenabzug!D98/Datenabzug!D97-1)</f>
        <v>1.2208193755066432E-2</v>
      </c>
      <c r="E98">
        <f>(Datenabzug!E98/Datenabzug!E97-1)</f>
        <v>3.1750173101644963E-2</v>
      </c>
      <c r="F98">
        <f>(Datenabzug!F98/Datenabzug!F97-1)</f>
        <v>-4.448013937885853E-3</v>
      </c>
      <c r="G98">
        <f>(Datenabzug!G98/Datenabzug!G97-1)</f>
        <v>2.4881354751582485E-2</v>
      </c>
      <c r="H98">
        <f>(Datenabzug!H98/Datenabzug!H97-1)</f>
        <v>-1.0318878516285213E-2</v>
      </c>
      <c r="I98">
        <f>(Datenabzug!I98/Datenabzug!I97-1)</f>
        <v>-3.9818995980327454E-3</v>
      </c>
      <c r="J98">
        <f>(Datenabzug!J98/Datenabzug!J97-1)</f>
        <v>-1.4144086952910362E-2</v>
      </c>
      <c r="K98">
        <f>(Datenabzug!K98/Datenabzug!K97-1)</f>
        <v>-1.6705394001615081E-2</v>
      </c>
    </row>
    <row r="99" spans="1:11">
      <c r="A99" s="1">
        <v>45433</v>
      </c>
      <c r="B99">
        <f>(Datenabzug!B99/Datenabzug!B98-1)</f>
        <v>-9.806558196610915E-3</v>
      </c>
      <c r="C99">
        <f>(Datenabzug!C99/Datenabzug!C98-1)</f>
        <v>5.4339337240949526E-3</v>
      </c>
      <c r="D99">
        <f>(Datenabzug!D99/Datenabzug!D98-1)</f>
        <v>8.698914419667414E-3</v>
      </c>
      <c r="E99">
        <f>(Datenabzug!E99/Datenabzug!E98-1)</f>
        <v>1.5277266495193675E-2</v>
      </c>
      <c r="F99">
        <f>(Datenabzug!F99/Datenabzug!F98-1)</f>
        <v>1.1441794493217694E-2</v>
      </c>
      <c r="G99">
        <f>(Datenabzug!G99/Datenabzug!G98-1)</f>
        <v>6.3938328531194522E-3</v>
      </c>
      <c r="H99">
        <f>(Datenabzug!H99/Datenabzug!H98-1)</f>
        <v>4.2704964203503781E-3</v>
      </c>
      <c r="I99">
        <f>(Datenabzug!I99/Datenabzug!I98-1)</f>
        <v>2.3212619242249932E-3</v>
      </c>
      <c r="J99">
        <f>(Datenabzug!J99/Datenabzug!J98-1)</f>
        <v>6.659050790792298E-2</v>
      </c>
      <c r="K99">
        <f>(Datenabzug!K99/Datenabzug!K98-1)</f>
        <v>3.121245575615772E-3</v>
      </c>
    </row>
    <row r="100" spans="1:11">
      <c r="A100" s="1">
        <v>45434</v>
      </c>
      <c r="B100">
        <f>(Datenabzug!B100/Datenabzug!B99-1)</f>
        <v>8.1177617161456439E-3</v>
      </c>
      <c r="C100">
        <f>(Datenabzug!C100/Datenabzug!C99-1)</f>
        <v>1.4306721209182971E-3</v>
      </c>
      <c r="D100">
        <f>(Datenabzug!D100/Datenabzug!D99-1)</f>
        <v>3.4495153497953179E-3</v>
      </c>
      <c r="E100">
        <f>(Datenabzug!E100/Datenabzug!E99-1)</f>
        <v>-1.5585396592027068E-2</v>
      </c>
      <c r="F100">
        <f>(Datenabzug!F100/Datenabzug!F99-1)</f>
        <v>-3.4475501305715195E-3</v>
      </c>
      <c r="G100">
        <f>(Datenabzug!G100/Datenabzug!G99-1)</f>
        <v>-4.5708491622183933E-3</v>
      </c>
      <c r="H100">
        <f>(Datenabzug!H100/Datenabzug!H99-1)</f>
        <v>5.5776216296037351E-3</v>
      </c>
      <c r="I100">
        <f>(Datenabzug!I100/Datenabzug!I99-1)</f>
        <v>3.8600081133487008E-2</v>
      </c>
      <c r="J100">
        <f>(Datenabzug!J100/Datenabzug!J99-1)</f>
        <v>-3.4780306971499919E-2</v>
      </c>
      <c r="K100">
        <f>(Datenabzug!K100/Datenabzug!K99-1)</f>
        <v>9.7285603791359421E-3</v>
      </c>
    </row>
    <row r="101" spans="1:11">
      <c r="A101" s="1">
        <v>45435</v>
      </c>
      <c r="B101">
        <f>(Datenabzug!B101/Datenabzug!B100-1)</f>
        <v>-7.5531415920284006E-2</v>
      </c>
      <c r="C101">
        <f>(Datenabzug!C101/Datenabzug!C100-1)</f>
        <v>-1.4444488338249406E-2</v>
      </c>
      <c r="D101">
        <f>(Datenabzug!D101/Datenabzug!D100-1)</f>
        <v>-8.1761053010074303E-3</v>
      </c>
      <c r="E101">
        <f>(Datenabzug!E101/Datenabzug!E100-1)</f>
        <v>-7.4944775126606356E-3</v>
      </c>
      <c r="F101">
        <f>(Datenabzug!F101/Datenabzug!F100-1)</f>
        <v>-1.1891861809702475E-2</v>
      </c>
      <c r="G101">
        <f>(Datenabzug!G101/Datenabzug!G100-1)</f>
        <v>9.319636488888805E-2</v>
      </c>
      <c r="H101">
        <f>(Datenabzug!H101/Datenabzug!H100-1)</f>
        <v>-1.548686084015749E-2</v>
      </c>
      <c r="I101">
        <f>(Datenabzug!I101/Datenabzug!I100-1)</f>
        <v>-2.9856350424869005E-2</v>
      </c>
      <c r="J101">
        <f>(Datenabzug!J101/Datenabzug!J100-1)</f>
        <v>-3.5367248323805223E-2</v>
      </c>
      <c r="K101">
        <f>(Datenabzug!K101/Datenabzug!K100-1)</f>
        <v>-1.505687971298042E-2</v>
      </c>
    </row>
    <row r="102" spans="1:11">
      <c r="A102" s="1">
        <v>45436</v>
      </c>
      <c r="B102">
        <f>(Datenabzug!B102/Datenabzug!B101-1)</f>
        <v>1.3413840476942607E-2</v>
      </c>
      <c r="C102">
        <f>(Datenabzug!C102/Datenabzug!C101-1)</f>
        <v>-1.4494390170750604E-3</v>
      </c>
      <c r="D102">
        <f>(Datenabzug!D102/Datenabzug!D101-1)</f>
        <v>7.4003939511770866E-3</v>
      </c>
      <c r="E102">
        <f>(Datenabzug!E102/Datenabzug!E101-1)</f>
        <v>1.7430455091050012E-2</v>
      </c>
      <c r="F102">
        <f>(Datenabzug!F102/Datenabzug!F101-1)</f>
        <v>3.8291990292447231E-3</v>
      </c>
      <c r="G102">
        <f>(Datenabzug!G102/Datenabzug!G101-1)</f>
        <v>2.5722791976217962E-2</v>
      </c>
      <c r="H102">
        <f>(Datenabzug!H102/Datenabzug!H101-1)</f>
        <v>-7.1400240116916702E-3</v>
      </c>
      <c r="I102">
        <f>(Datenabzug!I102/Datenabzug!I101-1)</f>
        <v>7.1512398814250755E-3</v>
      </c>
      <c r="J102">
        <f>(Datenabzug!J102/Datenabzug!J101-1)</f>
        <v>3.1656497214836321E-2</v>
      </c>
      <c r="K102">
        <f>(Datenabzug!K102/Datenabzug!K101-1)</f>
        <v>2.7722823049014522E-3</v>
      </c>
    </row>
    <row r="103" spans="1:11">
      <c r="A103" s="1">
        <v>45440</v>
      </c>
      <c r="B103">
        <f>(Datenabzug!B103/Datenabzug!B102-1)</f>
        <v>3.2087872157036124E-3</v>
      </c>
      <c r="C103">
        <f>(Datenabzug!C103/Datenabzug!C102-1)</f>
        <v>-2.9033411525419828E-3</v>
      </c>
      <c r="D103">
        <f>(Datenabzug!D103/Datenabzug!D102-1)</f>
        <v>3.7202692119375769E-4</v>
      </c>
      <c r="E103">
        <f>(Datenabzug!E103/Datenabzug!E102-1)</f>
        <v>3.4789331271742885E-3</v>
      </c>
      <c r="F103">
        <f>(Datenabzug!F103/Datenabzug!F102-1)</f>
        <v>2.7248548871516842E-3</v>
      </c>
      <c r="G103">
        <f>(Datenabzug!G103/Datenabzug!G102-1)</f>
        <v>6.9804320597537828E-2</v>
      </c>
      <c r="H103">
        <f>(Datenabzug!H103/Datenabzug!H102-1)</f>
        <v>-2.5900271315193235E-2</v>
      </c>
      <c r="I103">
        <f>(Datenabzug!I103/Datenabzug!I102-1)</f>
        <v>-1.762390439890249E-2</v>
      </c>
      <c r="J103">
        <f>(Datenabzug!J103/Datenabzug!J102-1)</f>
        <v>-1.3892018616675217E-2</v>
      </c>
      <c r="K103">
        <f>(Datenabzug!K103/Datenabzug!K102-1)</f>
        <v>-1.0150043347787019E-2</v>
      </c>
    </row>
    <row r="104" spans="1:11">
      <c r="A104" s="1">
        <v>45441</v>
      </c>
      <c r="B104">
        <f>(Datenabzug!B104/Datenabzug!B103-1)</f>
        <v>-1.9591089208919721E-2</v>
      </c>
      <c r="C104">
        <f>(Datenabzug!C104/Datenabzug!C103-1)</f>
        <v>-1.9409833782410013E-3</v>
      </c>
      <c r="D104">
        <f>(Datenabzug!D104/Datenabzug!D103-1)</f>
        <v>-2.6723952560899766E-3</v>
      </c>
      <c r="E104">
        <f>(Datenabzug!E104/Datenabzug!E103-1)</f>
        <v>8.6594685935086346E-3</v>
      </c>
      <c r="F104">
        <f>(Datenabzug!F104/Datenabzug!F103-1)</f>
        <v>-3.5869560688238655E-3</v>
      </c>
      <c r="G104">
        <f>(Datenabzug!G104/Datenabzug!G103-1)</f>
        <v>8.1122856881887806E-3</v>
      </c>
      <c r="H104">
        <f>(Datenabzug!H104/Datenabzug!H103-1)</f>
        <v>-1.2862059429852968E-2</v>
      </c>
      <c r="I104">
        <f>(Datenabzug!I104/Datenabzug!I103-1)</f>
        <v>-7.7439689316777249E-3</v>
      </c>
      <c r="J104">
        <f>(Datenabzug!J104/Datenabzug!J103-1)</f>
        <v>-3.1683030189194605E-3</v>
      </c>
      <c r="K104">
        <f>(Datenabzug!K104/Datenabzug!K103-1)</f>
        <v>-3.7904901694911786E-3</v>
      </c>
    </row>
    <row r="105" spans="1:11">
      <c r="A105" s="1">
        <v>45442</v>
      </c>
      <c r="B105">
        <f>(Datenabzug!B105/Datenabzug!B104-1)</f>
        <v>6.4084249497811108E-3</v>
      </c>
      <c r="C105">
        <f>(Datenabzug!C105/Datenabzug!C104-1)</f>
        <v>4.3758660942396777E-3</v>
      </c>
      <c r="D105">
        <f>(Datenabzug!D105/Datenabzug!D104-1)</f>
        <v>-3.3786224361732842E-2</v>
      </c>
      <c r="E105">
        <f>(Datenabzug!E105/Datenabzug!E104-1)</f>
        <v>-1.0632156097538759E-2</v>
      </c>
      <c r="F105">
        <f>(Datenabzug!F105/Datenabzug!F104-1)</f>
        <v>1.941749395683634E-2</v>
      </c>
      <c r="G105">
        <f>(Datenabzug!G105/Datenabzug!G104-1)</f>
        <v>-3.7666026581538503E-2</v>
      </c>
      <c r="H105">
        <f>(Datenabzug!H105/Datenabzug!H104-1)</f>
        <v>-3.914659054280456E-3</v>
      </c>
      <c r="I105">
        <f>(Datenabzug!I105/Datenabzug!I104-1)</f>
        <v>2.4453724126946019E-2</v>
      </c>
      <c r="J105">
        <f>(Datenabzug!J105/Datenabzug!J104-1)</f>
        <v>1.4756744473005234E-2</v>
      </c>
      <c r="K105">
        <f>(Datenabzug!K105/Datenabzug!K104-1)</f>
        <v>6.7286621741491359E-3</v>
      </c>
    </row>
    <row r="106" spans="1:11">
      <c r="A106" s="1">
        <v>45443</v>
      </c>
      <c r="B106">
        <f>(Datenabzug!B106/Datenabzug!B105-1)</f>
        <v>2.813314390941235E-2</v>
      </c>
      <c r="C106">
        <f>(Datenabzug!C106/Datenabzug!C105-1)</f>
        <v>1.5491367006748691E-2</v>
      </c>
      <c r="D106">
        <f>(Datenabzug!D106/Datenabzug!D105-1)</f>
        <v>1.1093460420288359E-3</v>
      </c>
      <c r="E106">
        <f>(Datenabzug!E106/Datenabzug!E105-1)</f>
        <v>-9.3258473238951867E-3</v>
      </c>
      <c r="F106">
        <f>(Datenabzug!F106/Datenabzug!F105-1)</f>
        <v>1.7121541639465443E-2</v>
      </c>
      <c r="G106">
        <f>(Datenabzug!G106/Datenabzug!G105-1)</f>
        <v>-7.8460710450232174E-3</v>
      </c>
      <c r="H106">
        <f>(Datenabzug!H106/Datenabzug!H105-1)</f>
        <v>1.4195149293327658E-2</v>
      </c>
      <c r="I106">
        <f>(Datenabzug!I106/Datenabzug!I105-1)</f>
        <v>1.8537104739123622E-2</v>
      </c>
      <c r="J106">
        <f>(Datenabzug!J106/Datenabzug!J105-1)</f>
        <v>-3.9710916815223207E-3</v>
      </c>
      <c r="K106">
        <f>(Datenabzug!K106/Datenabzug!K105-1)</f>
        <v>1.5634896315649849E-2</v>
      </c>
    </row>
    <row r="107" spans="1:11">
      <c r="A107" s="1">
        <v>45446</v>
      </c>
      <c r="B107">
        <f>(Datenabzug!B107/Datenabzug!B106-1)</f>
        <v>3.9187020381449056E-2</v>
      </c>
      <c r="C107">
        <f>(Datenabzug!C107/Datenabzug!C106-1)</f>
        <v>0</v>
      </c>
      <c r="D107">
        <f>(Datenabzug!D107/Datenabzug!D106-1)</f>
        <v>-3.8783716113521827E-3</v>
      </c>
      <c r="E107">
        <f>(Datenabzug!E107/Datenabzug!E106-1)</f>
        <v>-1.220351165710476E-2</v>
      </c>
      <c r="F107">
        <f>(Datenabzug!F107/Datenabzug!F106-1)</f>
        <v>-2.9574278057481473E-3</v>
      </c>
      <c r="G107">
        <f>(Datenabzug!G107/Datenabzug!G106-1)</f>
        <v>4.8954201721946422E-2</v>
      </c>
      <c r="H107">
        <f>(Datenabzug!H107/Datenabzug!H106-1)</f>
        <v>-9.6587378703413274E-3</v>
      </c>
      <c r="I107">
        <f>(Datenabzug!I107/Datenabzug!I106-1)</f>
        <v>2.3186338165762876E-2</v>
      </c>
      <c r="J107">
        <f>(Datenabzug!J107/Datenabzug!J106-1)</f>
        <v>-1.0051710054564178E-2</v>
      </c>
      <c r="K107">
        <f>(Datenabzug!K107/Datenabzug!K106-1)</f>
        <v>-9.7931492971192746E-4</v>
      </c>
    </row>
    <row r="108" spans="1:11">
      <c r="A108" s="1">
        <v>45447</v>
      </c>
      <c r="B108">
        <f>(Datenabzug!B108/Datenabzug!B107-1)</f>
        <v>2.1942827286422162E-2</v>
      </c>
      <c r="C108">
        <f>(Datenabzug!C108/Datenabzug!C107-1)</f>
        <v>1.6049533926529636E-2</v>
      </c>
      <c r="D108">
        <f>(Datenabzug!D108/Datenabzug!D107-1)</f>
        <v>6.1665974077422803E-3</v>
      </c>
      <c r="E108">
        <f>(Datenabzug!E108/Datenabzug!E107-1)</f>
        <v>-3.4238201697507353E-3</v>
      </c>
      <c r="F108">
        <f>(Datenabzug!F108/Datenabzug!F107-1)</f>
        <v>3.6016080600471678E-3</v>
      </c>
      <c r="G108">
        <f>(Datenabzug!G108/Datenabzug!G107-1)</f>
        <v>1.249568435767312E-2</v>
      </c>
      <c r="H108">
        <f>(Datenabzug!H108/Datenabzug!H107-1)</f>
        <v>1.5534588993658893E-2</v>
      </c>
      <c r="I108">
        <f>(Datenabzug!I108/Datenabzug!I107-1)</f>
        <v>8.6501996046006724E-3</v>
      </c>
      <c r="J108">
        <f>(Datenabzug!J108/Datenabzug!J107-1)</f>
        <v>-8.6220946823960531E-3</v>
      </c>
      <c r="K108">
        <f>(Datenabzug!K108/Datenabzug!K107-1)</f>
        <v>5.4898310899220704E-4</v>
      </c>
    </row>
    <row r="109" spans="1:11">
      <c r="A109" s="1">
        <v>45448</v>
      </c>
      <c r="B109">
        <f>(Datenabzug!B109/Datenabzug!B108-1)</f>
        <v>6.5211060235890184E-3</v>
      </c>
      <c r="C109">
        <f>(Datenabzug!C109/Datenabzug!C108-1)</f>
        <v>-3.1275071806002863E-4</v>
      </c>
      <c r="D109">
        <f>(Datenabzug!D109/Datenabzug!D108-1)</f>
        <v>1.9083451816538366E-2</v>
      </c>
      <c r="E109">
        <f>(Datenabzug!E109/Datenabzug!E108-1)</f>
        <v>2.9527286276937348E-2</v>
      </c>
      <c r="F109">
        <f>(Datenabzug!F109/Datenabzug!F108-1)</f>
        <v>-4.4330451671633631E-3</v>
      </c>
      <c r="G109">
        <f>(Datenabzug!G109/Datenabzug!G108-1)</f>
        <v>5.1555767412764242E-2</v>
      </c>
      <c r="H109">
        <f>(Datenabzug!H109/Datenabzug!H108-1)</f>
        <v>-2.3001991843836223E-3</v>
      </c>
      <c r="I109">
        <f>(Datenabzug!I109/Datenabzug!I108-1)</f>
        <v>-1.9688405751244642E-2</v>
      </c>
      <c r="J109">
        <f>(Datenabzug!J109/Datenabzug!J108-1)</f>
        <v>1.3159908560822497E-3</v>
      </c>
      <c r="K109">
        <f>(Datenabzug!K109/Datenabzug!K108-1)</f>
        <v>-6.1525205772380298E-3</v>
      </c>
    </row>
    <row r="110" spans="1:11">
      <c r="A110" s="1">
        <v>45449</v>
      </c>
      <c r="B110">
        <f>(Datenabzug!B110/Datenabzug!B109-1)</f>
        <v>8.2696445349281777E-3</v>
      </c>
      <c r="C110">
        <f>(Datenabzug!C110/Datenabzug!C109-1)</f>
        <v>3.5983155698600111E-3</v>
      </c>
      <c r="D110">
        <f>(Datenabzug!D110/Datenabzug!D109-1)</f>
        <v>1.2026909584665901E-3</v>
      </c>
      <c r="E110">
        <f>(Datenabzug!E110/Datenabzug!E109-1)</f>
        <v>-2.6911897326306056E-3</v>
      </c>
      <c r="F110">
        <f>(Datenabzug!F110/Datenabzug!F109-1)</f>
        <v>1.4843083402729107E-2</v>
      </c>
      <c r="G110">
        <f>(Datenabzug!G110/Datenabzug!G109-1)</f>
        <v>-1.1777158434042145E-2</v>
      </c>
      <c r="H110">
        <f>(Datenabzug!H110/Datenabzug!H109-1)</f>
        <v>-1.6714753854965014E-3</v>
      </c>
      <c r="I110">
        <f>(Datenabzug!I110/Datenabzug!I109-1)</f>
        <v>3.8195030223715509E-3</v>
      </c>
      <c r="J110">
        <f>(Datenabzug!J110/Datenabzug!J109-1)</f>
        <v>1.6800013950891479E-2</v>
      </c>
      <c r="K110">
        <f>(Datenabzug!K110/Datenabzug!K109-1)</f>
        <v>3.5881442593503898E-3</v>
      </c>
    </row>
    <row r="111" spans="1:11">
      <c r="A111" s="1">
        <v>45450</v>
      </c>
      <c r="B111">
        <f>(Datenabzug!B111/Datenabzug!B110-1)</f>
        <v>-6.1644169212641264E-3</v>
      </c>
      <c r="C111">
        <f>(Datenabzug!C111/Datenabzug!C110-1)</f>
        <v>-3.7412775534261256E-3</v>
      </c>
      <c r="D111">
        <f>(Datenabzug!D111/Datenabzug!D110-1)</f>
        <v>-1.5782157404320429E-3</v>
      </c>
      <c r="E111">
        <f>(Datenabzug!E111/Datenabzug!E110-1)</f>
        <v>-1.0870981027263804E-2</v>
      </c>
      <c r="F111">
        <f>(Datenabzug!F111/Datenabzug!F110-1)</f>
        <v>8.671187545703507E-3</v>
      </c>
      <c r="G111">
        <f>(Datenabzug!G111/Datenabzug!G110-1)</f>
        <v>-9.0909434975983139E-4</v>
      </c>
      <c r="H111">
        <f>(Datenabzug!H111/Datenabzug!H110-1)</f>
        <v>-4.6845250360196822E-3</v>
      </c>
      <c r="I111">
        <f>(Datenabzug!I111/Datenabzug!I110-1)</f>
        <v>-4.9094218860534777E-4</v>
      </c>
      <c r="J111">
        <f>(Datenabzug!J111/Datenabzug!J110-1)</f>
        <v>-2.5851787543864635E-3</v>
      </c>
      <c r="K111">
        <f>(Datenabzug!K111/Datenabzug!K110-1)</f>
        <v>3.8111789918404693E-3</v>
      </c>
    </row>
    <row r="112" spans="1:11">
      <c r="A112" s="1">
        <v>45453</v>
      </c>
      <c r="B112">
        <f>(Datenabzug!B112/Datenabzug!B111-1)</f>
        <v>-6.3083669318608759E-4</v>
      </c>
      <c r="C112">
        <f>(Datenabzug!C112/Datenabzug!C111-1)</f>
        <v>-5.006979211693019E-3</v>
      </c>
      <c r="D112">
        <f>(Datenabzug!D112/Datenabzug!D111-1)</f>
        <v>9.4844803139635392E-3</v>
      </c>
      <c r="E112">
        <f>(Datenabzug!E112/Datenabzug!E111-1)</f>
        <v>4.7235715392159872E-3</v>
      </c>
      <c r="F112">
        <f>(Datenabzug!F112/Datenabzug!F111-1)</f>
        <v>-5.6965774447428341E-3</v>
      </c>
      <c r="G112">
        <f>(Datenabzug!G112/Datenabzug!G111-1)</f>
        <v>7.4613946271395726E-3</v>
      </c>
      <c r="H112">
        <f>(Datenabzug!H112/Datenabzug!H111-1)</f>
        <v>-3.0051408652560507E-2</v>
      </c>
      <c r="I112">
        <f>(Datenabzug!I112/Datenabzug!I111-1)</f>
        <v>2.0876491927359631E-3</v>
      </c>
      <c r="J112">
        <f>(Datenabzug!J112/Datenabzug!J111-1)</f>
        <v>-2.0791089307167776E-2</v>
      </c>
      <c r="K112">
        <f>(Datenabzug!K112/Datenabzug!K111-1)</f>
        <v>5.0879417357196921E-4</v>
      </c>
    </row>
    <row r="113" spans="1:11">
      <c r="A113" s="1">
        <v>45454</v>
      </c>
      <c r="B113">
        <f>(Datenabzug!B113/Datenabzug!B112-1)</f>
        <v>-2.4300416767522481E-2</v>
      </c>
      <c r="C113">
        <f>(Datenabzug!C113/Datenabzug!C112-1)</f>
        <v>-6.2906856785216458E-4</v>
      </c>
      <c r="D113">
        <f>(Datenabzug!D113/Datenabzug!D112-1)</f>
        <v>1.1241742711246339E-2</v>
      </c>
      <c r="E113">
        <f>(Datenabzug!E113/Datenabzug!E112-1)</f>
        <v>6.2839220992521039E-3</v>
      </c>
      <c r="F113">
        <f>(Datenabzug!F113/Datenabzug!F112-1)</f>
        <v>-1.3541912226456843E-3</v>
      </c>
      <c r="G113">
        <f>(Datenabzug!G113/Datenabzug!G112-1)</f>
        <v>-7.1439910002578655E-3</v>
      </c>
      <c r="H113">
        <f>(Datenabzug!H113/Datenabzug!H112-1)</f>
        <v>-5.0030099277557083E-3</v>
      </c>
      <c r="I113">
        <f>(Datenabzug!I113/Datenabzug!I112-1)</f>
        <v>-2.0955851385006219E-2</v>
      </c>
      <c r="J113">
        <f>(Datenabzug!J113/Datenabzug!J112-1)</f>
        <v>-1.801018323805148E-2</v>
      </c>
      <c r="K113">
        <f>(Datenabzug!K113/Datenabzug!K112-1)</f>
        <v>6.2201523994587227E-3</v>
      </c>
    </row>
    <row r="114" spans="1:11">
      <c r="A114" s="1">
        <v>45455</v>
      </c>
      <c r="B114">
        <f>(Datenabzug!B114/Datenabzug!B113-1)</f>
        <v>-1.5256074560943356E-2</v>
      </c>
      <c r="C114">
        <f>(Datenabzug!C114/Datenabzug!C113-1)</f>
        <v>-1.0542877368974968E-2</v>
      </c>
      <c r="D114">
        <f>(Datenabzug!D114/Datenabzug!D113-1)</f>
        <v>1.9367694080455244E-2</v>
      </c>
      <c r="E114">
        <f>(Datenabzug!E114/Datenabzug!E113-1)</f>
        <v>2.3282858592961198E-3</v>
      </c>
      <c r="F114">
        <f>(Datenabzug!F114/Datenabzug!F113-1)</f>
        <v>-2.2843560982628186E-2</v>
      </c>
      <c r="G114">
        <f>(Datenabzug!G114/Datenabzug!G113-1)</f>
        <v>3.5480916354325931E-2</v>
      </c>
      <c r="H114">
        <f>(Datenabzug!H114/Datenabzug!H113-1)</f>
        <v>-7.5121179727263288E-3</v>
      </c>
      <c r="I114">
        <f>(Datenabzug!I114/Datenabzug!I113-1)</f>
        <v>-6.3838710893016071E-3</v>
      </c>
      <c r="J114">
        <f>(Datenabzug!J114/Datenabzug!J113-1)</f>
        <v>3.8849112163092059E-2</v>
      </c>
      <c r="K114">
        <f>(Datenabzug!K114/Datenabzug!K113-1)</f>
        <v>-5.0541590591443031E-3</v>
      </c>
    </row>
    <row r="115" spans="1:11">
      <c r="A115" s="1">
        <v>45456</v>
      </c>
      <c r="B115">
        <f>(Datenabzug!B115/Datenabzug!B114-1)</f>
        <v>-1.0784481526523226E-2</v>
      </c>
      <c r="C115">
        <f>(Datenabzug!C115/Datenabzug!C114-1)</f>
        <v>1.7494405024736093E-3</v>
      </c>
      <c r="D115">
        <f>(Datenabzug!D115/Datenabzug!D114-1)</f>
        <v>1.1789280811325131E-3</v>
      </c>
      <c r="E115">
        <f>(Datenabzug!E115/Datenabzug!E114-1)</f>
        <v>4.9226413239551459E-3</v>
      </c>
      <c r="F115">
        <f>(Datenabzug!F115/Datenabzug!F114-1)</f>
        <v>5.3373713489777153E-3</v>
      </c>
      <c r="G115">
        <f>(Datenabzug!G115/Datenabzug!G114-1)</f>
        <v>3.5223582617816218E-2</v>
      </c>
      <c r="H115">
        <f>(Datenabzug!H115/Datenabzug!H114-1)</f>
        <v>-3.0517234988315378E-3</v>
      </c>
      <c r="I115">
        <f>(Datenabzug!I115/Datenabzug!I114-1)</f>
        <v>1.0834004911410178E-2</v>
      </c>
      <c r="J115">
        <f>(Datenabzug!J115/Datenabzug!J114-1)</f>
        <v>2.9217711832223436E-2</v>
      </c>
      <c r="K115">
        <f>(Datenabzug!K115/Datenabzug!K114-1)</f>
        <v>-2.3446129551740746E-4</v>
      </c>
    </row>
    <row r="116" spans="1:11">
      <c r="A116" s="1">
        <v>45457</v>
      </c>
      <c r="B116">
        <f>(Datenabzug!B116/Datenabzug!B115-1)</f>
        <v>-1.8981697474872883E-2</v>
      </c>
      <c r="C116">
        <f>(Datenabzug!C116/Datenabzug!C115-1)</f>
        <v>7.1979818765877113E-4</v>
      </c>
      <c r="D116">
        <f>(Datenabzug!D116/Datenabzug!D115-1)</f>
        <v>2.2419846125245613E-3</v>
      </c>
      <c r="E116">
        <f>(Datenabzug!E116/Datenabzug!E115-1)</f>
        <v>2.4676231326283826E-2</v>
      </c>
      <c r="F116">
        <f>(Datenabzug!F116/Datenabzug!F115-1)</f>
        <v>-8.3881612018354978E-3</v>
      </c>
      <c r="G116">
        <f>(Datenabzug!G116/Datenabzug!G115-1)</f>
        <v>1.7514230216365778E-2</v>
      </c>
      <c r="H116">
        <f>(Datenabzug!H116/Datenabzug!H115-1)</f>
        <v>2.9386766446768409E-3</v>
      </c>
      <c r="I116">
        <f>(Datenabzug!I116/Datenabzug!I115-1)</f>
        <v>-7.3528637879822778E-3</v>
      </c>
      <c r="J116">
        <f>(Datenabzug!J116/Datenabzug!J115-1)</f>
        <v>-2.4442410719740737E-2</v>
      </c>
      <c r="K116">
        <f>(Datenabzug!K116/Datenabzug!K115-1)</f>
        <v>-2.2279046648331358E-3</v>
      </c>
    </row>
    <row r="117" spans="1:11">
      <c r="A117" s="1">
        <v>45460</v>
      </c>
      <c r="B117">
        <f>(Datenabzug!B117/Datenabzug!B116-1)</f>
        <v>6.3180182218904868E-3</v>
      </c>
      <c r="C117">
        <f>(Datenabzug!C117/Datenabzug!C116-1)</f>
        <v>1.1191248066133586E-3</v>
      </c>
      <c r="D117">
        <f>(Datenabzug!D117/Datenabzug!D116-1)</f>
        <v>1.3105246858400532E-2</v>
      </c>
      <c r="E117">
        <f>(Datenabzug!E117/Datenabzug!E116-1)</f>
        <v>9.635800531807126E-3</v>
      </c>
      <c r="F117">
        <f>(Datenabzug!F117/Datenabzug!F116-1)</f>
        <v>1.723958379402224E-2</v>
      </c>
      <c r="G117">
        <f>(Datenabzug!G117/Datenabzug!G116-1)</f>
        <v>-6.8244114489077745E-3</v>
      </c>
      <c r="H117">
        <f>(Datenabzug!H117/Datenabzug!H116-1)</f>
        <v>1.4223805691528701E-2</v>
      </c>
      <c r="I117">
        <f>(Datenabzug!I117/Datenabzug!I116-1)</f>
        <v>2.1092298021411215E-2</v>
      </c>
      <c r="J117">
        <f>(Datenabzug!J117/Datenabzug!J116-1)</f>
        <v>5.2974598199928113E-2</v>
      </c>
      <c r="K117">
        <f>(Datenabzug!K117/Datenabzug!K116-1)</f>
        <v>4.7006771989293039E-3</v>
      </c>
    </row>
    <row r="118" spans="1:11">
      <c r="A118" s="1">
        <v>45461</v>
      </c>
      <c r="B118">
        <f>(Datenabzug!B118/Datenabzug!B117-1)</f>
        <v>-1.9059330164902244E-2</v>
      </c>
      <c r="C118">
        <f>(Datenabzug!C118/Datenabzug!C117-1)</f>
        <v>1.5969625233691609E-4</v>
      </c>
      <c r="D118">
        <f>(Datenabzug!D118/Datenabzug!D117-1)</f>
        <v>-4.5275160813487147E-3</v>
      </c>
      <c r="E118">
        <f>(Datenabzug!E118/Datenabzug!E117-1)</f>
        <v>1.4559823582096065E-2</v>
      </c>
      <c r="F118">
        <f>(Datenabzug!F118/Datenabzug!F117-1)</f>
        <v>-2.3158252047847938E-3</v>
      </c>
      <c r="G118">
        <f>(Datenabzug!G118/Datenabzug!G117-1)</f>
        <v>3.5119817228256078E-2</v>
      </c>
      <c r="H118">
        <f>(Datenabzug!H118/Datenabzug!H117-1)</f>
        <v>2.0464596505012089E-3</v>
      </c>
      <c r="I118">
        <f>(Datenabzug!I118/Datenabzug!I117-1)</f>
        <v>-1.3894071430199939E-2</v>
      </c>
      <c r="J118">
        <f>(Datenabzug!J118/Datenabzug!J117-1)</f>
        <v>-1.3764414198946251E-2</v>
      </c>
      <c r="K118">
        <f>(Datenabzug!K118/Datenabzug!K117-1)</f>
        <v>-3.8989035122668492E-3</v>
      </c>
    </row>
    <row r="119" spans="1:11">
      <c r="A119" s="1">
        <v>45463</v>
      </c>
      <c r="B119">
        <f>(Datenabzug!B119/Datenabzug!B118-1)</f>
        <v>7.4861278785671725E-3</v>
      </c>
      <c r="C119">
        <f>(Datenabzug!C119/Datenabzug!C118-1)</f>
        <v>-7.1850585287036584E-3</v>
      </c>
      <c r="D119">
        <f>(Datenabzug!D119/Datenabzug!D118-1)</f>
        <v>-1.4338875328386846E-3</v>
      </c>
      <c r="E119">
        <f>(Datenabzug!E119/Datenabzug!E118-1)</f>
        <v>-9.6838913453661801E-3</v>
      </c>
      <c r="F119">
        <f>(Datenabzug!F119/Datenabzug!F118-1)</f>
        <v>8.335142210645019E-3</v>
      </c>
      <c r="G119">
        <f>(Datenabzug!G119/Datenabzug!G118-1)</f>
        <v>-3.5403399806252844E-2</v>
      </c>
      <c r="H119">
        <f>(Datenabzug!H119/Datenabzug!H118-1)</f>
        <v>1.201296594775414E-3</v>
      </c>
      <c r="I119">
        <f>(Datenabzug!I119/Datenabzug!I118-1)</f>
        <v>-5.9849874160621264E-3</v>
      </c>
      <c r="J119">
        <f>(Datenabzug!J119/Datenabzug!J118-1)</f>
        <v>-1.7797215597048721E-2</v>
      </c>
      <c r="K119">
        <f>(Datenabzug!K119/Datenabzug!K118-1)</f>
        <v>1.7457482680285352E-2</v>
      </c>
    </row>
    <row r="120" spans="1:11">
      <c r="A120" s="1">
        <v>45464</v>
      </c>
      <c r="B120">
        <f>(Datenabzug!B120/Datenabzug!B119-1)</f>
        <v>1.4747277500595235E-3</v>
      </c>
      <c r="C120">
        <f>(Datenabzug!C120/Datenabzug!C119-1)</f>
        <v>9.4886254068167197E-3</v>
      </c>
      <c r="D120">
        <f>(Datenabzug!D120/Datenabzug!D119-1)</f>
        <v>9.1541935544394715E-3</v>
      </c>
      <c r="E120">
        <f>(Datenabzug!E120/Datenabzug!E119-1)</f>
        <v>1.0441314101606869E-2</v>
      </c>
      <c r="F120">
        <f>(Datenabzug!F120/Datenabzug!F119-1)</f>
        <v>1.6846257555072963E-2</v>
      </c>
      <c r="G120">
        <f>(Datenabzug!G120/Datenabzug!G119-1)</f>
        <v>-3.2191589446049829E-2</v>
      </c>
      <c r="H120">
        <f>(Datenabzug!H120/Datenabzug!H119-1)</f>
        <v>3.5998502790171027E-3</v>
      </c>
      <c r="I120">
        <f>(Datenabzug!I120/Datenabzug!I119-1)</f>
        <v>2.3834361048533648E-3</v>
      </c>
      <c r="J120">
        <f>(Datenabzug!J120/Datenabzug!J119-1)</f>
        <v>7.9307546650351224E-3</v>
      </c>
      <c r="K120">
        <f>(Datenabzug!K120/Datenabzug!K119-1)</f>
        <v>9.5020110605945618E-3</v>
      </c>
    </row>
    <row r="121" spans="1:11">
      <c r="A121" s="1">
        <v>45467</v>
      </c>
      <c r="B121">
        <f>(Datenabzug!B121/Datenabzug!B120-1)</f>
        <v>1.4386092999797873E-2</v>
      </c>
      <c r="C121">
        <f>(Datenabzug!C121/Datenabzug!C120-1)</f>
        <v>1.9117379473985174E-2</v>
      </c>
      <c r="D121">
        <f>(Datenabzug!D121/Datenabzug!D120-1)</f>
        <v>-4.6911536399656395E-3</v>
      </c>
      <c r="E121">
        <f>(Datenabzug!E121/Datenabzug!E120-1)</f>
        <v>-2.492271863176998E-2</v>
      </c>
      <c r="F121">
        <f>(Datenabzug!F121/Datenabzug!F120-1)</f>
        <v>-1.0288519599921386E-4</v>
      </c>
      <c r="G121">
        <f>(Datenabzug!G121/Datenabzug!G120-1)</f>
        <v>-6.6840430875905299E-2</v>
      </c>
      <c r="H121">
        <f>(Datenabzug!H121/Datenabzug!H120-1)</f>
        <v>4.7823947066762962E-3</v>
      </c>
      <c r="I121">
        <f>(Datenabzug!I121/Datenabzug!I120-1)</f>
        <v>-2.2526128155850866E-3</v>
      </c>
      <c r="J121">
        <f>(Datenabzug!J121/Datenabzug!J120-1)</f>
        <v>-2.3495584322578145E-3</v>
      </c>
      <c r="K121">
        <f>(Datenabzug!K121/Datenabzug!K120-1)</f>
        <v>1.5357684726916343E-2</v>
      </c>
    </row>
    <row r="122" spans="1:11">
      <c r="A122" s="1">
        <v>45468</v>
      </c>
      <c r="B122">
        <f>(Datenabzug!B122/Datenabzug!B121-1)</f>
        <v>-2.2333890919512878E-2</v>
      </c>
      <c r="C122">
        <f>(Datenabzug!C122/Datenabzug!C121-1)</f>
        <v>-2.0321776394549573E-3</v>
      </c>
      <c r="D122">
        <f>(Datenabzug!D122/Datenabzug!D121-1)</f>
        <v>7.3267375293490922E-3</v>
      </c>
      <c r="E122">
        <f>(Datenabzug!E122/Datenabzug!E121-1)</f>
        <v>5.0670436075384018E-3</v>
      </c>
      <c r="F122">
        <f>(Datenabzug!F122/Datenabzug!F121-1)</f>
        <v>-2.4904869520849915E-2</v>
      </c>
      <c r="G122">
        <f>(Datenabzug!G122/Datenabzug!G121-1)</f>
        <v>6.7564054723352696E-2</v>
      </c>
      <c r="H122">
        <f>(Datenabzug!H122/Datenabzug!H121-1)</f>
        <v>-4.3431903179222964E-3</v>
      </c>
      <c r="I122">
        <f>(Datenabzug!I122/Datenabzug!I121-1)</f>
        <v>-5.644050189560712E-3</v>
      </c>
      <c r="J122">
        <f>(Datenabzug!J122/Datenabzug!J121-1)</f>
        <v>2.612555715096776E-2</v>
      </c>
      <c r="K122">
        <f>(Datenabzug!K122/Datenabzug!K121-1)</f>
        <v>-1.2648247169161797E-2</v>
      </c>
    </row>
    <row r="123" spans="1:11">
      <c r="A123" s="1">
        <v>45469</v>
      </c>
      <c r="B123">
        <f>(Datenabzug!B123/Datenabzug!B122-1)</f>
        <v>1.9417440194005486E-2</v>
      </c>
      <c r="C123">
        <f>(Datenabzug!C123/Datenabzug!C122-1)</f>
        <v>3.2894710542104022E-3</v>
      </c>
      <c r="D123">
        <f>(Datenabzug!D123/Datenabzug!D122-1)</f>
        <v>2.6831831511338056E-3</v>
      </c>
      <c r="E123">
        <f>(Datenabzug!E123/Datenabzug!E122-1)</f>
        <v>7.8523958712017894E-3</v>
      </c>
      <c r="F123">
        <f>(Datenabzug!F123/Datenabzug!F122-1)</f>
        <v>-7.2822964224704689E-3</v>
      </c>
      <c r="G123">
        <f>(Datenabzug!G123/Datenabzug!G122-1)</f>
        <v>2.4587135617428757E-3</v>
      </c>
      <c r="H123">
        <f>(Datenabzug!H123/Datenabzug!H122-1)</f>
        <v>-3.6450672899169811E-3</v>
      </c>
      <c r="I123">
        <f>(Datenabzug!I123/Datenabzug!I122-1)</f>
        <v>-1.6397604578740621E-3</v>
      </c>
      <c r="J123">
        <f>(Datenabzug!J123/Datenabzug!J122-1)</f>
        <v>4.8145122603776347E-2</v>
      </c>
      <c r="K123">
        <f>(Datenabzug!K123/Datenabzug!K122-1)</f>
        <v>2.2047336068584666E-3</v>
      </c>
    </row>
    <row r="124" spans="1:11">
      <c r="A124" s="1">
        <v>45470</v>
      </c>
      <c r="B124">
        <f>(Datenabzug!B124/Datenabzug!B123-1)</f>
        <v>2.246495522036418E-2</v>
      </c>
      <c r="C124">
        <f>(Datenabzug!C124/Datenabzug!C123-1)</f>
        <v>-2.1858314744643836E-3</v>
      </c>
      <c r="D124">
        <f>(Datenabzug!D124/Datenabzug!D123-1)</f>
        <v>1.5260840746575965E-3</v>
      </c>
      <c r="E124">
        <f>(Datenabzug!E124/Datenabzug!E123-1)</f>
        <v>9.8127822309683754E-3</v>
      </c>
      <c r="F124">
        <f>(Datenabzug!F124/Datenabzug!F123-1)</f>
        <v>1.3820388308092291E-3</v>
      </c>
      <c r="G124">
        <f>(Datenabzug!G124/Datenabzug!G123-1)</f>
        <v>-1.9066528923867287E-2</v>
      </c>
      <c r="H124">
        <f>(Datenabzug!H124/Datenabzug!H123-1)</f>
        <v>-2.8787677599256822E-3</v>
      </c>
      <c r="I124">
        <f>(Datenabzug!I124/Datenabzug!I123-1)</f>
        <v>1.137121320569312E-3</v>
      </c>
      <c r="J124">
        <f>(Datenabzug!J124/Datenabzug!J123-1)</f>
        <v>5.3470646120421517E-3</v>
      </c>
      <c r="K124">
        <f>(Datenabzug!K124/Datenabzug!K123-1)</f>
        <v>1.4412502819745043E-3</v>
      </c>
    </row>
    <row r="125" spans="1:11">
      <c r="A125" s="1">
        <v>45471</v>
      </c>
      <c r="B125">
        <f>(Datenabzug!B125/Datenabzug!B124-1)</f>
        <v>-2.7395759961039712E-3</v>
      </c>
      <c r="C125">
        <f>(Datenabzug!C125/Datenabzug!C124-1)</f>
        <v>-4.0681710462580067E-3</v>
      </c>
      <c r="D125">
        <f>(Datenabzug!D125/Datenabzug!D124-1)</f>
        <v>-1.3028581595175059E-2</v>
      </c>
      <c r="E125">
        <f>(Datenabzug!E125/Datenabzug!E124-1)</f>
        <v>-1.3823569572752548E-2</v>
      </c>
      <c r="F125">
        <f>(Datenabzug!F125/Datenabzug!F124-1)</f>
        <v>-0.19980871267435685</v>
      </c>
      <c r="G125">
        <f>(Datenabzug!G125/Datenabzug!G124-1)</f>
        <v>-3.6292773482994312E-3</v>
      </c>
      <c r="H125">
        <f>(Datenabzug!H125/Datenabzug!H124-1)</f>
        <v>-7.9993927546027077E-3</v>
      </c>
      <c r="I125">
        <f>(Datenabzug!I125/Datenabzug!I124-1)</f>
        <v>-1.7541711151687012E-2</v>
      </c>
      <c r="J125">
        <f>(Datenabzug!J125/Datenabzug!J124-1)</f>
        <v>2.3300917745594507E-3</v>
      </c>
      <c r="K125">
        <f>(Datenabzug!K125/Datenabzug!K124-1)</f>
        <v>-3.838154813671113E-3</v>
      </c>
    </row>
    <row r="126" spans="1:11">
      <c r="A126" s="1">
        <v>45474</v>
      </c>
      <c r="B126">
        <f>(Datenabzug!B126/Datenabzug!B125-1)</f>
        <v>2.5767829146497112E-2</v>
      </c>
      <c r="C126">
        <f>(Datenabzug!C126/Datenabzug!C125-1)</f>
        <v>-5.8130823653657071E-3</v>
      </c>
      <c r="D126">
        <f>(Datenabzug!D126/Datenabzug!D125-1)</f>
        <v>2.1881662076925101E-2</v>
      </c>
      <c r="E126">
        <f>(Datenabzug!E126/Datenabzug!E125-1)</f>
        <v>-1.8818449532677084E-3</v>
      </c>
      <c r="F126">
        <f>(Datenabzug!F126/Datenabzug!F125-1)</f>
        <v>1.9370966514522525E-2</v>
      </c>
      <c r="G126">
        <f>(Datenabzug!G126/Datenabzug!G125-1)</f>
        <v>6.1518371990436638E-3</v>
      </c>
      <c r="H126">
        <f>(Datenabzug!H126/Datenabzug!H125-1)</f>
        <v>-1.2369030439304374E-2</v>
      </c>
      <c r="I126">
        <f>(Datenabzug!I126/Datenabzug!I125-1)</f>
        <v>-9.2486782329211925E-3</v>
      </c>
      <c r="J126">
        <f>(Datenabzug!J126/Datenabzug!J125-1)</f>
        <v>6.0541719385108106E-2</v>
      </c>
      <c r="K126">
        <f>(Datenabzug!K126/Datenabzug!K125-1)</f>
        <v>-1.0375917215961428E-2</v>
      </c>
    </row>
    <row r="127" spans="1:11">
      <c r="A127" s="1">
        <v>45475</v>
      </c>
      <c r="B127">
        <f>(Datenabzug!B127/Datenabzug!B126-1)</f>
        <v>-6.8559121597191464E-3</v>
      </c>
      <c r="C127">
        <f>(Datenabzug!C127/Datenabzug!C126-1)</f>
        <v>-2.0542743132820895E-3</v>
      </c>
      <c r="D127">
        <f>(Datenabzug!D127/Datenabzug!D126-1)</f>
        <v>5.5831241283306188E-3</v>
      </c>
      <c r="E127">
        <f>(Datenabzug!E127/Datenabzug!E126-1)</f>
        <v>8.8627423406810735E-3</v>
      </c>
      <c r="F127">
        <f>(Datenabzug!F127/Datenabzug!F126-1)</f>
        <v>-1.0282402174770833E-2</v>
      </c>
      <c r="G127">
        <f>(Datenabzug!G127/Datenabzug!G126-1)</f>
        <v>-1.3113502982882053E-2</v>
      </c>
      <c r="H127">
        <f>(Datenabzug!H127/Datenabzug!H126-1)</f>
        <v>4.2360383357056275E-3</v>
      </c>
      <c r="I127">
        <f>(Datenabzug!I127/Datenabzug!I126-1)</f>
        <v>-3.8895050073891602E-3</v>
      </c>
      <c r="J127">
        <f>(Datenabzug!J127/Datenabzug!J126-1)</f>
        <v>0.10197271435359223</v>
      </c>
      <c r="K127">
        <f>(Datenabzug!K127/Datenabzug!K126-1)</f>
        <v>1.033059056070762E-2</v>
      </c>
    </row>
    <row r="128" spans="1:11">
      <c r="A128" s="1">
        <v>45476</v>
      </c>
      <c r="B128">
        <f>(Datenabzug!B128/Datenabzug!B127-1)</f>
        <v>-5.9864125839361737E-3</v>
      </c>
      <c r="C128">
        <f>(Datenabzug!C128/Datenabzug!C127-1)</f>
        <v>2.8503449822057103E-3</v>
      </c>
      <c r="D128">
        <f>(Datenabzug!D128/Datenabzug!D127-1)</f>
        <v>3.2441523972270847E-3</v>
      </c>
      <c r="E128">
        <f>(Datenabzug!E128/Datenabzug!E127-1)</f>
        <v>4.3114756203825877E-3</v>
      </c>
      <c r="F128">
        <f>(Datenabzug!F128/Datenabzug!F127-1)</f>
        <v>-1.0520819348378452E-2</v>
      </c>
      <c r="G128">
        <f>(Datenabzug!G128/Datenabzug!G127-1)</f>
        <v>4.5732472854114858E-2</v>
      </c>
      <c r="H128">
        <f>(Datenabzug!H128/Datenabzug!H127-1)</f>
        <v>-5.9908629358199628E-3</v>
      </c>
      <c r="I128">
        <f>(Datenabzug!I128/Datenabzug!I127-1)</f>
        <v>-7.4188645339944292E-3</v>
      </c>
      <c r="J128">
        <f>(Datenabzug!J128/Datenabzug!J127-1)</f>
        <v>6.5424220540513112E-2</v>
      </c>
      <c r="K128">
        <f>(Datenabzug!K128/Datenabzug!K127-1)</f>
        <v>-6.7150261313320136E-3</v>
      </c>
    </row>
    <row r="129" spans="1:11">
      <c r="A129" s="1">
        <v>45478</v>
      </c>
      <c r="B129">
        <f>(Datenabzug!B129/Datenabzug!B128-1)</f>
        <v>2.8213568409152234E-3</v>
      </c>
      <c r="C129">
        <f>(Datenabzug!C129/Datenabzug!C128-1)</f>
        <v>6.7897662862972386E-3</v>
      </c>
      <c r="D129">
        <f>(Datenabzug!D129/Datenabzug!D128-1)</f>
        <v>1.4736146750000012E-2</v>
      </c>
      <c r="E129">
        <f>(Datenabzug!E129/Datenabzug!E128-1)</f>
        <v>1.1926586470478728E-2</v>
      </c>
      <c r="F129">
        <f>(Datenabzug!F129/Datenabzug!F128-1)</f>
        <v>2.5252585409638595E-3</v>
      </c>
      <c r="G129">
        <f>(Datenabzug!G129/Datenabzug!G128-1)</f>
        <v>-1.9098847340459635E-2</v>
      </c>
      <c r="H129">
        <f>(Datenabzug!H129/Datenabzug!H128-1)</f>
        <v>1.1008578610875341E-2</v>
      </c>
      <c r="I129">
        <f>(Datenabzug!I129/Datenabzug!I128-1)</f>
        <v>-2.7537653300994114E-3</v>
      </c>
      <c r="J129">
        <f>(Datenabzug!J129/Datenabzug!J128-1)</f>
        <v>2.0820670057713153E-2</v>
      </c>
      <c r="K129">
        <f>(Datenabzug!K129/Datenabzug!K128-1)</f>
        <v>4.8782055470613095E-3</v>
      </c>
    </row>
    <row r="130" spans="1:11">
      <c r="A130" s="1">
        <v>45481</v>
      </c>
      <c r="B130">
        <f>(Datenabzug!B130/Datenabzug!B129-1)</f>
        <v>5.4644511000936369E-3</v>
      </c>
      <c r="C130">
        <f>(Datenabzug!C130/Datenabzug!C129-1)</f>
        <v>-1.2547091542466249E-2</v>
      </c>
      <c r="D130">
        <f>(Datenabzug!D130/Datenabzug!D129-1)</f>
        <v>-2.8230582488686373E-3</v>
      </c>
      <c r="E130">
        <f>(Datenabzug!E130/Datenabzug!E129-1)</f>
        <v>-7.109294152060075E-3</v>
      </c>
      <c r="F130">
        <f>(Datenabzug!F130/Datenabzug!F129-1)</f>
        <v>-3.1552496819480136E-2</v>
      </c>
      <c r="G130">
        <f>(Datenabzug!G130/Datenabzug!G129-1)</f>
        <v>1.8834843025184567E-2</v>
      </c>
      <c r="H130">
        <f>(Datenabzug!H130/Datenabzug!H129-1)</f>
        <v>-1.3808725975014702E-2</v>
      </c>
      <c r="I130">
        <f>(Datenabzug!I130/Datenabzug!I129-1)</f>
        <v>-1.9460786465916535E-2</v>
      </c>
      <c r="J130">
        <f>(Datenabzug!J130/Datenabzug!J129-1)</f>
        <v>5.6456669244000501E-3</v>
      </c>
      <c r="K130">
        <f>(Datenabzug!K130/Datenabzug!K129-1)</f>
        <v>-7.1479611435114609E-3</v>
      </c>
    </row>
    <row r="131" spans="1:11">
      <c r="A131" s="1">
        <v>45482</v>
      </c>
      <c r="B131">
        <f>(Datenabzug!B131/Datenabzug!B130-1)</f>
        <v>-1.3990480499142643E-2</v>
      </c>
      <c r="C131">
        <f>(Datenabzug!C131/Datenabzug!C130-1)</f>
        <v>-4.288389400999737E-3</v>
      </c>
      <c r="D131">
        <f>(Datenabzug!D131/Datenabzug!D130-1)</f>
        <v>-1.4370336463847222E-2</v>
      </c>
      <c r="E131">
        <f>(Datenabzug!E131/Datenabzug!E130-1)</f>
        <v>0</v>
      </c>
      <c r="F131">
        <f>(Datenabzug!F131/Datenabzug!F130-1)</f>
        <v>-8.0767413106485053E-3</v>
      </c>
      <c r="G131">
        <f>(Datenabzug!G131/Datenabzug!G130-1)</f>
        <v>2.4805153814215997E-2</v>
      </c>
      <c r="H131">
        <f>(Datenabzug!H131/Datenabzug!H130-1)</f>
        <v>-1.3569057087140513E-3</v>
      </c>
      <c r="I131">
        <f>(Datenabzug!I131/Datenabzug!I130-1)</f>
        <v>-2.4406740488831513E-2</v>
      </c>
      <c r="J131">
        <f>(Datenabzug!J131/Datenabzug!J130-1)</f>
        <v>3.7123365383987528E-2</v>
      </c>
      <c r="K131">
        <f>(Datenabzug!K131/Datenabzug!K130-1)</f>
        <v>-9.2400312604923318E-3</v>
      </c>
    </row>
    <row r="132" spans="1:11">
      <c r="A132" s="1">
        <v>45483</v>
      </c>
      <c r="B132">
        <f>(Datenabzug!B132/Datenabzug!B131-1)</f>
        <v>2.6740352525982392E-3</v>
      </c>
      <c r="C132">
        <f>(Datenabzug!C132/Datenabzug!C131-1)</f>
        <v>2.2332510399518668E-3</v>
      </c>
      <c r="D132">
        <f>(Datenabzug!D132/Datenabzug!D131-1)</f>
        <v>1.4601602260868818E-2</v>
      </c>
      <c r="E132">
        <f>(Datenabzug!E132/Datenabzug!E131-1)</f>
        <v>-1.1797424585881178E-2</v>
      </c>
      <c r="F132">
        <f>(Datenabzug!F132/Datenabzug!F131-1)</f>
        <v>1.1042017095936885E-3</v>
      </c>
      <c r="G132">
        <f>(Datenabzug!G132/Datenabzug!G131-1)</f>
        <v>2.6868621550219407E-2</v>
      </c>
      <c r="H132">
        <f>(Datenabzug!H132/Datenabzug!H131-1)</f>
        <v>1.043843844430592E-2</v>
      </c>
      <c r="I132">
        <f>(Datenabzug!I132/Datenabzug!I131-1)</f>
        <v>-3.2989415913637909E-3</v>
      </c>
      <c r="J132">
        <f>(Datenabzug!J132/Datenabzug!J131-1)</f>
        <v>3.5452416458832126E-3</v>
      </c>
      <c r="K132">
        <f>(Datenabzug!K132/Datenabzug!K131-1)</f>
        <v>3.1865755808595519E-3</v>
      </c>
    </row>
    <row r="133" spans="1:11">
      <c r="A133" s="1">
        <v>45484</v>
      </c>
      <c r="B133">
        <f>(Datenabzug!B133/Datenabzug!B132-1)</f>
        <v>9.7974167939862689E-4</v>
      </c>
      <c r="C133">
        <f>(Datenabzug!C133/Datenabzug!C132-1)</f>
        <v>4.2971995339489144E-3</v>
      </c>
      <c r="D133">
        <f>(Datenabzug!D133/Datenabzug!D132-1)</f>
        <v>-2.4772133452184653E-2</v>
      </c>
      <c r="E133">
        <f>(Datenabzug!E133/Datenabzug!E132-1)</f>
        <v>-3.6744666888475552E-2</v>
      </c>
      <c r="F133">
        <f>(Datenabzug!F133/Datenabzug!F132-1)</f>
        <v>1.1717604779431623E-2</v>
      </c>
      <c r="G133">
        <f>(Datenabzug!G133/Datenabzug!G132-1)</f>
        <v>-5.5666746241231579E-2</v>
      </c>
      <c r="H133">
        <f>(Datenabzug!H133/Datenabzug!H132-1)</f>
        <v>2.2006498896935955E-3</v>
      </c>
      <c r="I133">
        <f>(Datenabzug!I133/Datenabzug!I132-1)</f>
        <v>1.0895083716008225E-2</v>
      </c>
      <c r="J133">
        <f>(Datenabzug!J133/Datenabzug!J132-1)</f>
        <v>-8.4441275399632199E-2</v>
      </c>
      <c r="K133">
        <f>(Datenabzug!K133/Datenabzug!K132-1)</f>
        <v>1.4797000980090402E-2</v>
      </c>
    </row>
    <row r="134" spans="1:11">
      <c r="A134" s="1">
        <v>45485</v>
      </c>
      <c r="B134">
        <f>(Datenabzug!B134/Datenabzug!B133-1)</f>
        <v>-8.6999405777601346E-3</v>
      </c>
      <c r="C134">
        <f>(Datenabzug!C134/Datenabzug!C133-1)</f>
        <v>9.5088250899220128E-3</v>
      </c>
      <c r="D134">
        <f>(Datenabzug!D134/Datenabzug!D133-1)</f>
        <v>-2.5291074596079932E-3</v>
      </c>
      <c r="E134">
        <f>(Datenabzug!E134/Datenabzug!E133-1)</f>
        <v>-7.8897348357915842E-3</v>
      </c>
      <c r="F134">
        <f>(Datenabzug!F134/Datenabzug!F133-1)</f>
        <v>4.08815159163467E-4</v>
      </c>
      <c r="G134">
        <f>(Datenabzug!G134/Datenabzug!G133-1)</f>
        <v>1.4442800404950606E-2</v>
      </c>
      <c r="H134">
        <f>(Datenabzug!H134/Datenabzug!H133-1)</f>
        <v>1.4821672770497729E-2</v>
      </c>
      <c r="I134">
        <f>(Datenabzug!I134/Datenabzug!I133-1)</f>
        <v>2.0873108996900758E-2</v>
      </c>
      <c r="J134">
        <f>(Datenabzug!J134/Datenabzug!J133-1)</f>
        <v>2.9871787680818329E-2</v>
      </c>
      <c r="K134">
        <f>(Datenabzug!K134/Datenabzug!K133-1)</f>
        <v>8.5119360960193013E-3</v>
      </c>
    </row>
    <row r="135" spans="1:11">
      <c r="A135" s="1">
        <v>45488</v>
      </c>
      <c r="B135">
        <f>(Datenabzug!B135/Datenabzug!B134-1)</f>
        <v>-1.7552503927896534E-2</v>
      </c>
      <c r="C135">
        <f>(Datenabzug!C135/Datenabzug!C134-1)</f>
        <v>-4.5526716428019309E-3</v>
      </c>
      <c r="D135">
        <f>(Datenabzug!D135/Datenabzug!D134-1)</f>
        <v>9.0400280753999418E-4</v>
      </c>
      <c r="E135">
        <f>(Datenabzug!E135/Datenabzug!E134-1)</f>
        <v>1.3665900177168178E-2</v>
      </c>
      <c r="F135">
        <f>(Datenabzug!F135/Datenabzug!F134-1)</f>
        <v>-2.8738787784161168E-2</v>
      </c>
      <c r="G135">
        <f>(Datenabzug!G135/Datenabzug!G134-1)</f>
        <v>-6.1901226131506615E-3</v>
      </c>
      <c r="H135">
        <f>(Datenabzug!H135/Datenabzug!H134-1)</f>
        <v>-1.5146136113239894E-2</v>
      </c>
      <c r="I135">
        <f>(Datenabzug!I135/Datenabzug!I134-1)</f>
        <v>-2.7796384171108746E-2</v>
      </c>
      <c r="J135">
        <f>(Datenabzug!J135/Datenabzug!J134-1)</f>
        <v>1.7765796793347555E-2</v>
      </c>
      <c r="K135">
        <f>(Datenabzug!K135/Datenabzug!K134-1)</f>
        <v>-3.330583067626014E-3</v>
      </c>
    </row>
    <row r="136" spans="1:11">
      <c r="A136" s="1">
        <v>45489</v>
      </c>
      <c r="B136">
        <f>(Datenabzug!B136/Datenabzug!B135-1)</f>
        <v>3.8747152128617124E-2</v>
      </c>
      <c r="C136">
        <f>(Datenabzug!C136/Datenabzug!C135-1)</f>
        <v>1.3562525429192229E-2</v>
      </c>
      <c r="D136">
        <f>(Datenabzug!D136/Datenabzug!D135-1)</f>
        <v>-9.7806008475308515E-3</v>
      </c>
      <c r="E136">
        <f>(Datenabzug!E136/Datenabzug!E135-1)</f>
        <v>-1.9804231913411741E-4</v>
      </c>
      <c r="F136">
        <f>(Datenabzug!F136/Datenabzug!F135-1)</f>
        <v>2.1034905872344689E-2</v>
      </c>
      <c r="G136">
        <f>(Datenabzug!G136/Datenabzug!G135-1)</f>
        <v>-1.6194410648117663E-2</v>
      </c>
      <c r="H136">
        <f>(Datenabzug!H136/Datenabzug!H135-1)</f>
        <v>5.4924628110990525E-3</v>
      </c>
      <c r="I136">
        <f>(Datenabzug!I136/Datenabzug!I135-1)</f>
        <v>3.7938258242248946E-2</v>
      </c>
      <c r="J136">
        <f>(Datenabzug!J136/Datenabzug!J135-1)</f>
        <v>1.5516142251485565E-2</v>
      </c>
      <c r="K136">
        <f>(Datenabzug!K136/Datenabzug!K135-1)</f>
        <v>3.7596761716844895E-3</v>
      </c>
    </row>
    <row r="137" spans="1:11">
      <c r="A137" s="1">
        <v>45490</v>
      </c>
      <c r="B137">
        <f>(Datenabzug!B137/Datenabzug!B136-1)</f>
        <v>-6.5036640366534781E-3</v>
      </c>
      <c r="C137">
        <f>(Datenabzug!C137/Datenabzug!C136-1)</f>
        <v>1.4625876833274543E-2</v>
      </c>
      <c r="D137">
        <f>(Datenabzug!D137/Datenabzug!D136-1)</f>
        <v>-1.3347632796676834E-2</v>
      </c>
      <c r="E137">
        <f>(Datenabzug!E137/Datenabzug!E136-1)</f>
        <v>-1.349948996326289E-2</v>
      </c>
      <c r="F137">
        <f>(Datenabzug!F137/Datenabzug!F136-1)</f>
        <v>3.5708960890967756E-3</v>
      </c>
      <c r="G137">
        <f>(Datenabzug!G137/Datenabzug!G136-1)</f>
        <v>-6.6239307334586495E-2</v>
      </c>
      <c r="H137">
        <f>(Datenabzug!H137/Datenabzug!H136-1)</f>
        <v>3.1136187742238697E-2</v>
      </c>
      <c r="I137">
        <f>(Datenabzug!I137/Datenabzug!I136-1)</f>
        <v>-5.4298884322275809E-3</v>
      </c>
      <c r="J137">
        <f>(Datenabzug!J137/Datenabzug!J136-1)</f>
        <v>-3.14156440415162E-2</v>
      </c>
      <c r="K137">
        <f>(Datenabzug!K137/Datenabzug!K136-1)</f>
        <v>1.1917268019744132E-2</v>
      </c>
    </row>
    <row r="138" spans="1:11">
      <c r="A138" s="1">
        <v>45491</v>
      </c>
      <c r="B138">
        <f>(Datenabzug!B138/Datenabzug!B137-1)</f>
        <v>-2.4940492867809083E-2</v>
      </c>
      <c r="C138">
        <f>(Datenabzug!C138/Datenabzug!C137-1)</f>
        <v>-3.0682732954823155E-4</v>
      </c>
      <c r="D138">
        <f>(Datenabzug!D138/Datenabzug!D137-1)</f>
        <v>-7.1022836593874761E-3</v>
      </c>
      <c r="E138">
        <f>(Datenabzug!E138/Datenabzug!E137-1)</f>
        <v>-6.8267441931723072E-3</v>
      </c>
      <c r="F138">
        <f>(Datenabzug!F138/Datenabzug!F137-1)</f>
        <v>-9.4429672125623254E-3</v>
      </c>
      <c r="G138">
        <f>(Datenabzug!G138/Datenabzug!G137-1)</f>
        <v>2.6273421196658653E-2</v>
      </c>
      <c r="H138">
        <f>(Datenabzug!H138/Datenabzug!H137-1)</f>
        <v>2.8252984245318302E-3</v>
      </c>
      <c r="I138">
        <f>(Datenabzug!I138/Datenabzug!I137-1)</f>
        <v>-1.2116989816242651E-2</v>
      </c>
      <c r="J138">
        <f>(Datenabzug!J138/Datenabzug!J137-1)</f>
        <v>2.9376085615251402E-3</v>
      </c>
      <c r="K138">
        <f>(Datenabzug!K138/Datenabzug!K137-1)</f>
        <v>-3.1032292051914601E-3</v>
      </c>
    </row>
    <row r="139" spans="1:11">
      <c r="A139" s="1">
        <v>45492</v>
      </c>
      <c r="B139">
        <f>(Datenabzug!B139/Datenabzug!B138-1)</f>
        <v>-3.107127403146448E-3</v>
      </c>
      <c r="C139">
        <f>(Datenabzug!C139/Datenabzug!C138-1)</f>
        <v>1.5341256838730111E-3</v>
      </c>
      <c r="D139">
        <f>(Datenabzug!D139/Datenabzug!D138-1)</f>
        <v>-7.4028730362328821E-3</v>
      </c>
      <c r="E139">
        <f>(Datenabzug!E139/Datenabzug!E138-1)</f>
        <v>-1.5084522740921313E-2</v>
      </c>
      <c r="F139">
        <f>(Datenabzug!F139/Datenabzug!F138-1)</f>
        <v>4.4211499856530168E-3</v>
      </c>
      <c r="G139">
        <f>(Datenabzug!G139/Datenabzug!G138-1)</f>
        <v>-2.6096247085689139E-2</v>
      </c>
      <c r="H139">
        <f>(Datenabzug!H139/Datenabzug!H138-1)</f>
        <v>-5.9281905865407047E-3</v>
      </c>
      <c r="I139">
        <f>(Datenabzug!I139/Datenabzug!I138-1)</f>
        <v>6.84727509012939E-2</v>
      </c>
      <c r="J139">
        <f>(Datenabzug!J139/Datenabzug!J138-1)</f>
        <v>-4.0243947162210469E-2</v>
      </c>
      <c r="K139">
        <f>(Datenabzug!K139/Datenabzug!K138-1)</f>
        <v>-1.3163868346957486E-2</v>
      </c>
    </row>
    <row r="140" spans="1:11">
      <c r="A140" s="1">
        <v>45495</v>
      </c>
      <c r="B140">
        <f>(Datenabzug!B140/Datenabzug!B139-1)</f>
        <v>-4.2856585980312056E-3</v>
      </c>
      <c r="C140">
        <f>(Datenabzug!C140/Datenabzug!C139-1)</f>
        <v>-7.9645483396365568E-3</v>
      </c>
      <c r="D140">
        <f>(Datenabzug!D140/Datenabzug!D139-1)</f>
        <v>1.3337681086009301E-2</v>
      </c>
      <c r="E140">
        <f>(Datenabzug!E140/Datenabzug!E139-1)</f>
        <v>2.2357616042106621E-2</v>
      </c>
      <c r="F140">
        <f>(Datenabzug!F140/Datenabzug!F139-1)</f>
        <v>2.9711162645014833E-2</v>
      </c>
      <c r="G140">
        <f>(Datenabzug!G140/Datenabzug!G139-1)</f>
        <v>4.7570610207843922E-2</v>
      </c>
      <c r="H140">
        <f>(Datenabzug!H140/Datenabzug!H139-1)</f>
        <v>-1.0037660603360976E-2</v>
      </c>
      <c r="I140">
        <f>(Datenabzug!I140/Datenabzug!I139-1)</f>
        <v>-3.4313147645298137E-2</v>
      </c>
      <c r="J140">
        <f>(Datenabzug!J140/Datenabzug!J139-1)</f>
        <v>5.1463201152367244E-2</v>
      </c>
      <c r="K140">
        <f>(Datenabzug!K140/Datenabzug!K139-1)</f>
        <v>8.7788553743954889E-3</v>
      </c>
    </row>
    <row r="141" spans="1:11">
      <c r="A141" s="1">
        <v>45496</v>
      </c>
      <c r="B141">
        <f>(Datenabzug!B141/Datenabzug!B140-1)</f>
        <v>4.2370050808615334E-2</v>
      </c>
      <c r="C141">
        <f>(Datenabzug!C141/Datenabzug!C140-1)</f>
        <v>2.9333882455828686E-3</v>
      </c>
      <c r="D141">
        <f>(Datenabzug!D141/Datenabzug!D140-1)</f>
        <v>4.3120490564121372E-3</v>
      </c>
      <c r="E141">
        <f>(Datenabzug!E141/Datenabzug!E140-1)</f>
        <v>-7.3204482384170433E-3</v>
      </c>
      <c r="F141">
        <f>(Datenabzug!F141/Datenabzug!F140-1)</f>
        <v>-1.9503042392581604E-2</v>
      </c>
      <c r="G141">
        <f>(Datenabzug!G141/Datenabzug!G140-1)</f>
        <v>-7.689935494763267E-3</v>
      </c>
      <c r="H141">
        <f>(Datenabzug!H141/Datenabzug!H140-1)</f>
        <v>-8.2310411424726393E-3</v>
      </c>
      <c r="I141">
        <f>(Datenabzug!I141/Datenabzug!I140-1)</f>
        <v>-3.7883249190892032E-3</v>
      </c>
      <c r="J141">
        <f>(Datenabzug!J141/Datenabzug!J140-1)</f>
        <v>-2.0396762498770649E-2</v>
      </c>
      <c r="K141">
        <f>(Datenabzug!K141/Datenabzug!K140-1)</f>
        <v>3.6167387451744304E-3</v>
      </c>
    </row>
    <row r="142" spans="1:11">
      <c r="A142" s="1">
        <v>45497</v>
      </c>
      <c r="B142">
        <f>(Datenabzug!B142/Datenabzug!B141-1)</f>
        <v>-3.4373597973942793E-2</v>
      </c>
      <c r="C142">
        <f>(Datenabzug!C142/Datenabzug!C141-1)</f>
        <v>1.3085029725572017E-2</v>
      </c>
      <c r="D142">
        <f>(Datenabzug!D142/Datenabzug!D141-1)</f>
        <v>-3.5854785743195783E-2</v>
      </c>
      <c r="E142">
        <f>(Datenabzug!E142/Datenabzug!E141-1)</f>
        <v>-1.0532732946031631E-2</v>
      </c>
      <c r="F142">
        <f>(Datenabzug!F142/Datenabzug!F141-1)</f>
        <v>-3.1471396979406485E-2</v>
      </c>
      <c r="G142">
        <f>(Datenabzug!G142/Datenabzug!G141-1)</f>
        <v>-6.8031638591967702E-2</v>
      </c>
      <c r="H142">
        <f>(Datenabzug!H142/Datenabzug!H141-1)</f>
        <v>1.1366410720317743E-2</v>
      </c>
      <c r="I142">
        <f>(Datenabzug!I142/Datenabzug!I141-1)</f>
        <v>-2.0718659333819556E-2</v>
      </c>
      <c r="J142">
        <f>(Datenabzug!J142/Datenabzug!J141-1)</f>
        <v>-0.12334604589403531</v>
      </c>
      <c r="K142">
        <f>(Datenabzug!K142/Datenabzug!K141-1)</f>
        <v>2.2521997886857381E-3</v>
      </c>
    </row>
    <row r="143" spans="1:11">
      <c r="A143" s="1">
        <v>45498</v>
      </c>
      <c r="B143">
        <f>(Datenabzug!B143/Datenabzug!B142-1)</f>
        <v>2.3768526713006777E-2</v>
      </c>
      <c r="C143">
        <f>(Datenabzug!C143/Datenabzug!C142-1)</f>
        <v>3.9507189867069581E-3</v>
      </c>
      <c r="D143">
        <f>(Datenabzug!D143/Datenabzug!D142-1)</f>
        <v>-2.4481220758595934E-2</v>
      </c>
      <c r="E143">
        <f>(Datenabzug!E143/Datenabzug!E142-1)</f>
        <v>-2.9874108210521388E-3</v>
      </c>
      <c r="F143">
        <f>(Datenabzug!F143/Datenabzug!F142-1)</f>
        <v>4.5012662346275434E-3</v>
      </c>
      <c r="G143">
        <f>(Datenabzug!G143/Datenabzug!G142-1)</f>
        <v>-1.7242869622854484E-2</v>
      </c>
      <c r="H143">
        <f>(Datenabzug!H143/Datenabzug!H142-1)</f>
        <v>1.694715061554497E-2</v>
      </c>
      <c r="I143">
        <f>(Datenabzug!I143/Datenabzug!I142-1)</f>
        <v>-1.8211056345556975E-2</v>
      </c>
      <c r="J143">
        <f>(Datenabzug!J143/Datenabzug!J142-1)</f>
        <v>1.9723109396239336E-2</v>
      </c>
      <c r="K143">
        <f>(Datenabzug!K143/Datenabzug!K142-1)</f>
        <v>3.9700492499651796E-2</v>
      </c>
    </row>
    <row r="144" spans="1:11">
      <c r="A144" s="1">
        <v>45499</v>
      </c>
      <c r="B144">
        <f>(Datenabzug!B144/Datenabzug!B143-1)</f>
        <v>1.3778102533431813E-2</v>
      </c>
      <c r="C144">
        <f>(Datenabzug!C144/Datenabzug!C143-1)</f>
        <v>1.4832901367658469E-2</v>
      </c>
      <c r="D144">
        <f>(Datenabzug!D144/Datenabzug!D143-1)</f>
        <v>1.6419669353163968E-2</v>
      </c>
      <c r="E144">
        <f>(Datenabzug!E144/Datenabzug!E143-1)</f>
        <v>-4.2896617563438211E-3</v>
      </c>
      <c r="F144">
        <f>(Datenabzug!F144/Datenabzug!F143-1)</f>
        <v>1.6104094295295246E-2</v>
      </c>
      <c r="G144">
        <f>(Datenabzug!G144/Datenabzug!G143-1)</f>
        <v>6.9468593096979614E-3</v>
      </c>
      <c r="H144">
        <f>(Datenabzug!H144/Datenabzug!H143-1)</f>
        <v>1.0115649698225981E-2</v>
      </c>
      <c r="I144">
        <f>(Datenabzug!I144/Datenabzug!I143-1)</f>
        <v>9.9565039518010323E-3</v>
      </c>
      <c r="J144">
        <f>(Datenabzug!J144/Datenabzug!J143-1)</f>
        <v>-2.043118947754885E-3</v>
      </c>
      <c r="K144">
        <f>(Datenabzug!K144/Datenabzug!K143-1)</f>
        <v>1.9776628912479888E-2</v>
      </c>
    </row>
    <row r="145" spans="1:11">
      <c r="A145" s="1">
        <v>45502</v>
      </c>
      <c r="B145">
        <f>(Datenabzug!B145/Datenabzug!B144-1)</f>
        <v>-7.8121179230304927E-3</v>
      </c>
      <c r="C145">
        <f>(Datenabzug!C145/Datenabzug!C144-1)</f>
        <v>-3.2811920833053509E-3</v>
      </c>
      <c r="D145">
        <f>(Datenabzug!D145/Datenabzug!D144-1)</f>
        <v>3.4331656762403018E-3</v>
      </c>
      <c r="E145">
        <f>(Datenabzug!E145/Datenabzug!E144-1)</f>
        <v>-6.9847683270291006E-3</v>
      </c>
      <c r="F145">
        <f>(Datenabzug!F145/Datenabzug!F144-1)</f>
        <v>1.3644039836099076E-2</v>
      </c>
      <c r="G145">
        <f>(Datenabzug!G145/Datenabzug!G144-1)</f>
        <v>-1.3001947642676592E-2</v>
      </c>
      <c r="H145">
        <f>(Datenabzug!H145/Datenabzug!H144-1)</f>
        <v>2.6629921177663274E-3</v>
      </c>
      <c r="I145">
        <f>(Datenabzug!I145/Datenabzug!I144-1)</f>
        <v>1.55299333959249E-2</v>
      </c>
      <c r="J145">
        <f>(Datenabzug!J145/Datenabzug!J144-1)</f>
        <v>5.5959976710562964E-2</v>
      </c>
      <c r="K145">
        <f>(Datenabzug!K145/Datenabzug!K144-1)</f>
        <v>-1.4695023141394148E-2</v>
      </c>
    </row>
    <row r="146" spans="1:11">
      <c r="A146" s="1">
        <v>45503</v>
      </c>
      <c r="B146">
        <f>(Datenabzug!B146/Datenabzug!B145-1)</f>
        <v>7.7118480885145502E-3</v>
      </c>
      <c r="C146">
        <f>(Datenabzug!C146/Datenabzug!C145-1)</f>
        <v>1.2718890500465152E-2</v>
      </c>
      <c r="D146">
        <f>(Datenabzug!D146/Datenabzug!D145-1)</f>
        <v>-8.9283494479990289E-3</v>
      </c>
      <c r="E146">
        <f>(Datenabzug!E146/Datenabzug!E145-1)</f>
        <v>-6.9860991599303146E-3</v>
      </c>
      <c r="F146">
        <f>(Datenabzug!F146/Datenabzug!F145-1)</f>
        <v>1.0468965270257424E-2</v>
      </c>
      <c r="G146">
        <f>(Datenabzug!G146/Datenabzug!G145-1)</f>
        <v>-7.0436318502961281E-2</v>
      </c>
      <c r="H146">
        <f>(Datenabzug!H146/Datenabzug!H145-1)</f>
        <v>-1.7338481861339794E-4</v>
      </c>
      <c r="I146">
        <f>(Datenabzug!I146/Datenabzug!I145-1)</f>
        <v>9.8404819761690465E-3</v>
      </c>
      <c r="J146">
        <f>(Datenabzug!J146/Datenabzug!J145-1)</f>
        <v>-4.0844509853653288E-2</v>
      </c>
      <c r="K146">
        <f>(Datenabzug!K146/Datenabzug!K145-1)</f>
        <v>1.9682441788944294E-2</v>
      </c>
    </row>
    <row r="147" spans="1:11">
      <c r="A147" s="1">
        <v>45504</v>
      </c>
      <c r="B147">
        <f>(Datenabzug!B147/Datenabzug!B146-1)</f>
        <v>2.001501381220061E-2</v>
      </c>
      <c r="C147">
        <f>(Datenabzug!C147/Datenabzug!C146-1)</f>
        <v>-1.3888905003355934E-2</v>
      </c>
      <c r="D147">
        <f>(Datenabzug!D147/Datenabzug!D146-1)</f>
        <v>-1.0805871473019923E-2</v>
      </c>
      <c r="E147">
        <f>(Datenabzug!E147/Datenabzug!E146-1)</f>
        <v>9.2678183329186758E-3</v>
      </c>
      <c r="F147">
        <f>(Datenabzug!F147/Datenabzug!F146-1)</f>
        <v>7.2659615172676606E-3</v>
      </c>
      <c r="G147">
        <f>(Datenabzug!G147/Datenabzug!G146-1)</f>
        <v>0.12812102586816532</v>
      </c>
      <c r="H147">
        <f>(Datenabzug!H147/Datenabzug!H146-1)</f>
        <v>-2.9448568971014444E-3</v>
      </c>
      <c r="I147">
        <f>(Datenabzug!I147/Datenabzug!I146-1)</f>
        <v>2.6468196296737689E-2</v>
      </c>
      <c r="J147">
        <f>(Datenabzug!J147/Datenabzug!J146-1)</f>
        <v>4.2449072025433132E-2</v>
      </c>
      <c r="K147">
        <f>(Datenabzug!K147/Datenabzug!K146-1)</f>
        <v>-7.5241688565179654E-3</v>
      </c>
    </row>
    <row r="148" spans="1:11">
      <c r="A148" s="1">
        <v>45505</v>
      </c>
      <c r="B148">
        <f>(Datenabzug!B148/Datenabzug!B147-1)</f>
        <v>-6.4480630384908144E-2</v>
      </c>
      <c r="C148">
        <f>(Datenabzug!C148/Datenabzug!C147-1)</f>
        <v>1.8279748404169682E-2</v>
      </c>
      <c r="D148">
        <f>(Datenabzug!D148/Datenabzug!D147-1)</f>
        <v>-2.9640867997273723E-3</v>
      </c>
      <c r="E148">
        <f>(Datenabzug!E148/Datenabzug!E147-1)</f>
        <v>-5.5701442444335836E-3</v>
      </c>
      <c r="F148">
        <f>(Datenabzug!F148/Datenabzug!F147-1)</f>
        <v>-1.3491960465501052E-2</v>
      </c>
      <c r="G148">
        <f>(Datenabzug!G148/Datenabzug!G147-1)</f>
        <v>-6.6740662957464059E-2</v>
      </c>
      <c r="H148">
        <f>(Datenabzug!H148/Datenabzug!H147-1)</f>
        <v>1.3262328833179016E-2</v>
      </c>
      <c r="I148">
        <f>(Datenabzug!I148/Datenabzug!I147-1)</f>
        <v>-3.6433541396882818E-2</v>
      </c>
      <c r="J148">
        <f>(Datenabzug!J148/Datenabzug!J147-1)</f>
        <v>-6.5540596517574046E-2</v>
      </c>
      <c r="K148">
        <f>(Datenabzug!K148/Datenabzug!K147-1)</f>
        <v>7.3684862142215923E-3</v>
      </c>
    </row>
    <row r="149" spans="1:11">
      <c r="A149" s="1">
        <v>45506</v>
      </c>
      <c r="B149">
        <f>(Datenabzug!B149/Datenabzug!B148-1)</f>
        <v>-4.6884643176577367E-2</v>
      </c>
      <c r="C149">
        <f>(Datenabzug!C149/Datenabzug!C148-1)</f>
        <v>2.0159107059293691E-2</v>
      </c>
      <c r="D149">
        <f>(Datenabzug!D149/Datenabzug!D148-1)</f>
        <v>-2.0665936982863897E-2</v>
      </c>
      <c r="E149">
        <f>(Datenabzug!E149/Datenabzug!E148-1)</f>
        <v>-1.7940243859317029E-2</v>
      </c>
      <c r="F149">
        <f>(Datenabzug!F149/Datenabzug!F148-1)</f>
        <v>2.1666258990948872E-3</v>
      </c>
      <c r="G149">
        <f>(Datenabzug!G149/Datenabzug!G148-1)</f>
        <v>-1.7764053900481303E-2</v>
      </c>
      <c r="H149">
        <f>(Datenabzug!H149/Datenabzug!H148-1)</f>
        <v>1.7603902388934056E-2</v>
      </c>
      <c r="I149">
        <f>(Datenabzug!I149/Datenabzug!I148-1)</f>
        <v>1.025163142641361E-2</v>
      </c>
      <c r="J149">
        <f>(Datenabzug!J149/Datenabzug!J148-1)</f>
        <v>-4.2377581921704266E-2</v>
      </c>
      <c r="K149">
        <f>(Datenabzug!K149/Datenabzug!K148-1)</f>
        <v>-4.7122706211125687E-3</v>
      </c>
    </row>
    <row r="150" spans="1:11">
      <c r="A150" s="1">
        <v>45509</v>
      </c>
      <c r="B150">
        <f>(Datenabzug!B150/Datenabzug!B149-1)</f>
        <v>-1.718151351209074E-2</v>
      </c>
      <c r="C150">
        <f>(Datenabzug!C150/Datenabzug!C149-1)</f>
        <v>-1.7741384149404182E-2</v>
      </c>
      <c r="D150">
        <f>(Datenabzug!D150/Datenabzug!D149-1)</f>
        <v>-3.2656993353285535E-2</v>
      </c>
      <c r="E150">
        <f>(Datenabzug!E150/Datenabzug!E149-1)</f>
        <v>-2.4591008564059158E-2</v>
      </c>
      <c r="F150">
        <f>(Datenabzug!F150/Datenabzug!F149-1)</f>
        <v>-3.4995195333946683E-2</v>
      </c>
      <c r="G150">
        <f>(Datenabzug!G150/Datenabzug!G149-1)</f>
        <v>-6.3577840430313559E-2</v>
      </c>
      <c r="H150">
        <f>(Datenabzug!H150/Datenabzug!H149-1)</f>
        <v>-2.2466836034732984E-2</v>
      </c>
      <c r="I150">
        <f>(Datenabzug!I150/Datenabzug!I149-1)</f>
        <v>-2.6621031260831263E-2</v>
      </c>
      <c r="J150">
        <f>(Datenabzug!J150/Datenabzug!J149-1)</f>
        <v>-4.232673647438534E-2</v>
      </c>
      <c r="K150">
        <f>(Datenabzug!K150/Datenabzug!K149-1)</f>
        <v>-3.066913007864347E-2</v>
      </c>
    </row>
    <row r="151" spans="1:11">
      <c r="A151" s="1">
        <v>45510</v>
      </c>
      <c r="B151">
        <f>(Datenabzug!B151/Datenabzug!B150-1)</f>
        <v>-1.1914060394585091E-2</v>
      </c>
      <c r="C151">
        <f>(Datenabzug!C151/Datenabzug!C150-1)</f>
        <v>-7.3405463483489086E-4</v>
      </c>
      <c r="D151">
        <f>(Datenabzug!D151/Datenabzug!D150-1)</f>
        <v>1.1286985627351642E-2</v>
      </c>
      <c r="E151">
        <f>(Datenabzug!E151/Datenabzug!E150-1)</f>
        <v>1.841119331049379E-2</v>
      </c>
      <c r="F151">
        <f>(Datenabzug!F151/Datenabzug!F150-1)</f>
        <v>1.5121660708276918E-2</v>
      </c>
      <c r="G151">
        <f>(Datenabzug!G151/Datenabzug!G150-1)</f>
        <v>3.7829744118383246E-2</v>
      </c>
      <c r="H151">
        <f>(Datenabzug!H151/Datenabzug!H150-1)</f>
        <v>-8.9059542678679993E-3</v>
      </c>
      <c r="I151">
        <f>(Datenabzug!I151/Datenabzug!I150-1)</f>
        <v>2.0444141797263171E-2</v>
      </c>
      <c r="J151">
        <f>(Datenabzug!J151/Datenabzug!J150-1)</f>
        <v>8.8495296843595916E-3</v>
      </c>
      <c r="K151">
        <f>(Datenabzug!K151/Datenabzug!K150-1)</f>
        <v>7.2810508117360229E-5</v>
      </c>
    </row>
    <row r="152" spans="1:11">
      <c r="A152" s="1">
        <v>45511</v>
      </c>
      <c r="B152">
        <f>(Datenabzug!B152/Datenabzug!B151-1)</f>
        <v>-1.0906373401550762E-2</v>
      </c>
      <c r="C152">
        <f>(Datenabzug!C152/Datenabzug!C151-1)</f>
        <v>6.0248005628424917E-3</v>
      </c>
      <c r="D152">
        <f>(Datenabzug!D152/Datenabzug!D151-1)</f>
        <v>-2.952875729425708E-3</v>
      </c>
      <c r="E152">
        <f>(Datenabzug!E152/Datenabzug!E151-1)</f>
        <v>3.1333122062815466E-3</v>
      </c>
      <c r="F152">
        <f>(Datenabzug!F152/Datenabzug!F151-1)</f>
        <v>1.6553349672430162E-3</v>
      </c>
      <c r="G152">
        <f>(Datenabzug!G152/Datenabzug!G151-1)</f>
        <v>-5.122291898793041E-2</v>
      </c>
      <c r="H152">
        <f>(Datenabzug!H152/Datenabzug!H151-1)</f>
        <v>-4.0582243290445685E-3</v>
      </c>
      <c r="I152">
        <f>(Datenabzug!I152/Datenabzug!I151-1)</f>
        <v>-1.0613521730433728E-3</v>
      </c>
      <c r="J152">
        <f>(Datenabzug!J152/Datenabzug!J151-1)</f>
        <v>-4.425839767656603E-2</v>
      </c>
      <c r="K152">
        <f>(Datenabzug!K152/Datenabzug!K151-1)</f>
        <v>3.9365449169310729E-3</v>
      </c>
    </row>
    <row r="153" spans="1:11">
      <c r="A153" s="1">
        <v>45512</v>
      </c>
      <c r="B153">
        <f>(Datenabzug!B153/Datenabzug!B152-1)</f>
        <v>3.448903108655399E-2</v>
      </c>
      <c r="C153">
        <f>(Datenabzug!C153/Datenabzug!C152-1)</f>
        <v>3.9441519281899762E-3</v>
      </c>
      <c r="D153">
        <f>(Datenabzug!D153/Datenabzug!D152-1)</f>
        <v>1.0692075541248069E-2</v>
      </c>
      <c r="E153">
        <f>(Datenabzug!E153/Datenabzug!E152-1)</f>
        <v>3.0859546869746568E-2</v>
      </c>
      <c r="F153">
        <f>(Datenabzug!F153/Datenabzug!F152-1)</f>
        <v>2.1619219000857726E-2</v>
      </c>
      <c r="G153">
        <f>(Datenabzug!G153/Datenabzug!G152-1)</f>
        <v>6.1267779187380356E-2</v>
      </c>
      <c r="H153">
        <f>(Datenabzug!H153/Datenabzug!H152-1)</f>
        <v>3.3761329110444382E-3</v>
      </c>
      <c r="I153">
        <f>(Datenabzug!I153/Datenabzug!I152-1)</f>
        <v>6.1096225776651192E-3</v>
      </c>
      <c r="J153">
        <f>(Datenabzug!J153/Datenabzug!J152-1)</f>
        <v>3.69211620456249E-2</v>
      </c>
      <c r="K153">
        <f>(Datenabzug!K153/Datenabzug!K152-1)</f>
        <v>9.0038793011681939E-3</v>
      </c>
    </row>
    <row r="154" spans="1:11">
      <c r="A154" s="1">
        <v>45513</v>
      </c>
      <c r="B154">
        <f>(Datenabzug!B154/Datenabzug!B153-1)</f>
        <v>-5.6847958952790378E-3</v>
      </c>
      <c r="C154">
        <f>(Datenabzug!C154/Datenabzug!C153-1)</f>
        <v>-7.2766866111895201E-4</v>
      </c>
      <c r="D154">
        <f>(Datenabzug!D154/Datenabzug!D153-1)</f>
        <v>8.2692189179212061E-3</v>
      </c>
      <c r="E154">
        <f>(Datenabzug!E154/Datenabzug!E153-1)</f>
        <v>5.6952914960168854E-3</v>
      </c>
      <c r="F154">
        <f>(Datenabzug!F154/Datenabzug!F153-1)</f>
        <v>2.0218243161977956E-3</v>
      </c>
      <c r="G154">
        <f>(Datenabzug!G154/Datenabzug!G153-1)</f>
        <v>-2.0958562507369383E-3</v>
      </c>
      <c r="H154">
        <f>(Datenabzug!H154/Datenabzug!H153-1)</f>
        <v>1.1624495224293874E-4</v>
      </c>
      <c r="I154">
        <f>(Datenabzug!I154/Datenabzug!I153-1)</f>
        <v>-8.7130044417166319E-3</v>
      </c>
      <c r="J154">
        <f>(Datenabzug!J154/Datenabzug!J153-1)</f>
        <v>5.8338547750664826E-3</v>
      </c>
      <c r="K154">
        <f>(Datenabzug!K154/Datenabzug!K153-1)</f>
        <v>-4.7138204229290048E-3</v>
      </c>
    </row>
    <row r="155" spans="1:11">
      <c r="A155" s="1">
        <v>45516</v>
      </c>
      <c r="B155">
        <f>(Datenabzug!B155/Datenabzug!B154-1)</f>
        <v>-2.2512052271189464E-2</v>
      </c>
      <c r="C155">
        <f>(Datenabzug!C155/Datenabzug!C154-1)</f>
        <v>-7.4257043683111368E-3</v>
      </c>
      <c r="D155">
        <f>(Datenabzug!D155/Datenabzug!D154-1)</f>
        <v>1.9457354160343776E-3</v>
      </c>
      <c r="E155">
        <f>(Datenabzug!E155/Datenabzug!E154-1)</f>
        <v>-1.2619298196802076E-3</v>
      </c>
      <c r="F155">
        <f>(Datenabzug!F155/Datenabzug!F154-1)</f>
        <v>4.0355944102343777E-3</v>
      </c>
      <c r="G155">
        <f>(Datenabzug!G155/Datenabzug!G154-1)</f>
        <v>4.0763745845676436E-2</v>
      </c>
      <c r="H155">
        <f>(Datenabzug!H155/Datenabzug!H154-1)</f>
        <v>-5.6268126761043202E-3</v>
      </c>
      <c r="I155">
        <f>(Datenabzug!I155/Datenabzug!I154-1)</f>
        <v>2.5835797101252611E-2</v>
      </c>
      <c r="J155">
        <f>(Datenabzug!J155/Datenabzug!J154-1)</f>
        <v>-1.2549972534179998E-2</v>
      </c>
      <c r="K155">
        <f>(Datenabzug!K155/Datenabzug!K154-1)</f>
        <v>-2.7112799379775954E-3</v>
      </c>
    </row>
    <row r="156" spans="1:11">
      <c r="A156" s="1">
        <v>45517</v>
      </c>
      <c r="B156">
        <f>(Datenabzug!B156/Datenabzug!B155-1)</f>
        <v>2.8209282192666718E-2</v>
      </c>
      <c r="C156">
        <f>(Datenabzug!C156/Datenabzug!C155-1)</f>
        <v>4.2539741195271041E-3</v>
      </c>
      <c r="D156">
        <f>(Datenabzug!D156/Datenabzug!D155-1)</f>
        <v>1.7698718353813536E-2</v>
      </c>
      <c r="E156">
        <f>(Datenabzug!E156/Datenabzug!E155-1)</f>
        <v>2.3501918278021616E-2</v>
      </c>
      <c r="F156">
        <f>(Datenabzug!F156/Datenabzug!F155-1)</f>
        <v>5.1714996878216901E-2</v>
      </c>
      <c r="G156">
        <f>(Datenabzug!G156/Datenabzug!G155-1)</f>
        <v>6.5309052032850534E-2</v>
      </c>
      <c r="H156">
        <f>(Datenabzug!H156/Datenabzug!H155-1)</f>
        <v>5.5417637014227861E-3</v>
      </c>
      <c r="I156">
        <f>(Datenabzug!I156/Datenabzug!I155-1)</f>
        <v>0.24496951355688523</v>
      </c>
      <c r="J156">
        <f>(Datenabzug!J156/Datenabzug!J155-1)</f>
        <v>5.2357061371634428E-2</v>
      </c>
      <c r="K156">
        <f>(Datenabzug!K156/Datenabzug!K155-1)</f>
        <v>-4.2775217524546605E-3</v>
      </c>
    </row>
    <row r="157" spans="1:11">
      <c r="A157" s="1">
        <v>45518</v>
      </c>
      <c r="B157">
        <f>(Datenabzug!B157/Datenabzug!B156-1)</f>
        <v>-1.5406169429833527E-3</v>
      </c>
      <c r="C157">
        <f>(Datenabzug!C157/Datenabzug!C156-1)</f>
        <v>1.7531093488760696E-3</v>
      </c>
      <c r="D157">
        <f>(Datenabzug!D157/Datenabzug!D156-1)</f>
        <v>6.8838738655168097E-3</v>
      </c>
      <c r="E157">
        <f>(Datenabzug!E157/Datenabzug!E156-1)</f>
        <v>2.107955423107466E-2</v>
      </c>
      <c r="F157">
        <f>(Datenabzug!F157/Datenabzug!F156-1)</f>
        <v>2.5463659486302248E-4</v>
      </c>
      <c r="G157">
        <f>(Datenabzug!G157/Datenabzug!G156-1)</f>
        <v>1.6704019623208222E-2</v>
      </c>
      <c r="H157">
        <f>(Datenabzug!H157/Datenabzug!H156-1)</f>
        <v>7.7740990832715351E-3</v>
      </c>
      <c r="I157">
        <f>(Datenabzug!I157/Datenabzug!I156-1)</f>
        <v>-2.0855071890633958E-2</v>
      </c>
      <c r="J157">
        <f>(Datenabzug!J157/Datenabzug!J156-1)</f>
        <v>-3.1034965555575833E-2</v>
      </c>
      <c r="K157">
        <f>(Datenabzug!K157/Datenabzug!K156-1)</f>
        <v>1.9295291169823647E-2</v>
      </c>
    </row>
    <row r="158" spans="1:11">
      <c r="A158" s="1">
        <v>45519</v>
      </c>
      <c r="B158">
        <f>(Datenabzug!B158/Datenabzug!B157-1)</f>
        <v>4.6943641911626255E-2</v>
      </c>
      <c r="C158">
        <f>(Datenabzug!C158/Datenabzug!C157-1)</f>
        <v>1.020552108041306E-3</v>
      </c>
      <c r="D158">
        <f>(Datenabzug!D158/Datenabzug!D157-1)</f>
        <v>1.1823776162078081E-2</v>
      </c>
      <c r="E158">
        <f>(Datenabzug!E158/Datenabzug!E157-1)</f>
        <v>2.3273758378523635E-3</v>
      </c>
      <c r="F158">
        <f>(Datenabzug!F158/Datenabzug!F157-1)</f>
        <v>5.0687770550740474E-2</v>
      </c>
      <c r="G158">
        <f>(Datenabzug!G158/Datenabzug!G157-1)</f>
        <v>4.0481075153764312E-2</v>
      </c>
      <c r="H158">
        <f>(Datenabzug!H158/Datenabzug!H157-1)</f>
        <v>-6.8505191717036507E-3</v>
      </c>
      <c r="I158">
        <f>(Datenabzug!I158/Datenabzug!I157-1)</f>
        <v>1.0436491420217298E-2</v>
      </c>
      <c r="J158">
        <f>(Datenabzug!J158/Datenabzug!J157-1)</f>
        <v>6.3362767888804905E-2</v>
      </c>
      <c r="K158">
        <f>(Datenabzug!K158/Datenabzug!K157-1)</f>
        <v>-3.5727025675491575E-4</v>
      </c>
    </row>
    <row r="159" spans="1:11">
      <c r="A159" s="1">
        <v>45520</v>
      </c>
      <c r="B159">
        <f>(Datenabzug!B159/Datenabzug!B158-1)</f>
        <v>2.0293644105988662E-2</v>
      </c>
      <c r="C159">
        <f>(Datenabzug!C159/Datenabzug!C158-1)</f>
        <v>7.7202870920998201E-3</v>
      </c>
      <c r="D159">
        <f>(Datenabzug!D159/Datenabzug!D158-1)</f>
        <v>-6.0802636800474374E-3</v>
      </c>
      <c r="E159">
        <f>(Datenabzug!E159/Datenabzug!E158-1)</f>
        <v>1.6359634963329039E-2</v>
      </c>
      <c r="F159">
        <f>(Datenabzug!F159/Datenabzug!F158-1)</f>
        <v>8.848660567491784E-3</v>
      </c>
      <c r="G159">
        <f>(Datenabzug!G159/Datenabzug!G158-1)</f>
        <v>1.3999571759240048E-2</v>
      </c>
      <c r="H159">
        <f>(Datenabzug!H159/Datenabzug!H158-1)</f>
        <v>5.7971099518372426E-4</v>
      </c>
      <c r="I159">
        <f>(Datenabzug!I159/Datenabzug!I158-1)</f>
        <v>5.3017755302577907E-3</v>
      </c>
      <c r="J159">
        <f>(Datenabzug!J159/Datenabzug!J158-1)</f>
        <v>9.2462675501188141E-3</v>
      </c>
      <c r="K159">
        <f>(Datenabzug!K159/Datenabzug!K158-1)</f>
        <v>1.9292870517695349E-3</v>
      </c>
    </row>
    <row r="160" spans="1:11">
      <c r="A160" s="1">
        <v>45523</v>
      </c>
      <c r="B160">
        <f>(Datenabzug!B160/Datenabzug!B159-1)</f>
        <v>-1.944586326096287E-3</v>
      </c>
      <c r="C160">
        <f>(Datenabzug!C160/Datenabzug!C159-1)</f>
        <v>-2.8909473019886889E-3</v>
      </c>
      <c r="D160">
        <f>(Datenabzug!D160/Datenabzug!D159-1)</f>
        <v>7.3123141406428172E-3</v>
      </c>
      <c r="E160">
        <f>(Datenabzug!E160/Datenabzug!E159-1)</f>
        <v>2.1451810369159441E-2</v>
      </c>
      <c r="F160">
        <f>(Datenabzug!F160/Datenabzug!F159-1)</f>
        <v>6.0046046225803451E-4</v>
      </c>
      <c r="G160">
        <f>(Datenabzug!G160/Datenabzug!G159-1)</f>
        <v>4.3506190228346453E-2</v>
      </c>
      <c r="H160">
        <f>(Datenabzug!H160/Datenabzug!H159-1)</f>
        <v>6.9517685783022642E-3</v>
      </c>
      <c r="I160">
        <f>(Datenabzug!I160/Datenabzug!I159-1)</f>
        <v>-2.6473927982133771E-2</v>
      </c>
      <c r="J160">
        <f>(Datenabzug!J160/Datenabzug!J159-1)</f>
        <v>3.0538618603694223E-2</v>
      </c>
      <c r="K160">
        <f>(Datenabzug!K160/Datenabzug!K159-1)</f>
        <v>7.0608713076008023E-3</v>
      </c>
    </row>
    <row r="161" spans="1:11">
      <c r="A161" s="1">
        <v>45524</v>
      </c>
      <c r="B161">
        <f>(Datenabzug!B161/Datenabzug!B160-1)</f>
        <v>-4.1972797326604305E-2</v>
      </c>
      <c r="C161">
        <f>(Datenabzug!C161/Datenabzug!C160-1)</f>
        <v>5.7985443817405447E-3</v>
      </c>
      <c r="D161">
        <f>(Datenabzug!D161/Datenabzug!D160-1)</f>
        <v>7.7574006871099499E-3</v>
      </c>
      <c r="E161">
        <f>(Datenabzug!E161/Datenabzug!E160-1)</f>
        <v>1.4538144023565902E-2</v>
      </c>
      <c r="F161">
        <f>(Datenabzug!F161/Datenabzug!F160-1)</f>
        <v>3.3622637801729027E-3</v>
      </c>
      <c r="G161">
        <f>(Datenabzug!G161/Datenabzug!G160-1)</f>
        <v>-2.1153837347913873E-2</v>
      </c>
      <c r="H161">
        <f>(Datenabzug!H161/Datenabzug!H160-1)</f>
        <v>1.1678734625722109E-2</v>
      </c>
      <c r="I161">
        <f>(Datenabzug!I161/Datenabzug!I160-1)</f>
        <v>7.6922480975267771E-3</v>
      </c>
      <c r="J161">
        <f>(Datenabzug!J161/Datenabzug!J160-1)</f>
        <v>-7.2736849331402897E-3</v>
      </c>
      <c r="K161">
        <f>(Datenabzug!K161/Datenabzug!K160-1)</f>
        <v>-3.2931572449499402E-3</v>
      </c>
    </row>
    <row r="162" spans="1:11">
      <c r="A162" s="1">
        <v>45525</v>
      </c>
      <c r="B162">
        <f>(Datenabzug!B162/Datenabzug!B161-1)</f>
        <v>7.7279867815114311E-3</v>
      </c>
      <c r="C162">
        <f>(Datenabzug!C162/Datenabzug!C161-1)</f>
        <v>2.7387607305764394E-3</v>
      </c>
      <c r="D162">
        <f>(Datenabzug!D162/Datenabzug!D161-1)</f>
        <v>-1.5535269484081571E-3</v>
      </c>
      <c r="E162">
        <f>(Datenabzug!E162/Datenabzug!E161-1)</f>
        <v>-2.0327868909749691E-3</v>
      </c>
      <c r="F162">
        <f>(Datenabzug!F162/Datenabzug!F161-1)</f>
        <v>5.2655723987764524E-3</v>
      </c>
      <c r="G162">
        <f>(Datenabzug!G162/Datenabzug!G161-1)</f>
        <v>9.8232875788843987E-3</v>
      </c>
      <c r="H162">
        <f>(Datenabzug!H162/Datenabzug!H161-1)</f>
        <v>-3.6394785713304012E-3</v>
      </c>
      <c r="I162">
        <f>(Datenabzug!I162/Datenabzug!I161-1)</f>
        <v>-2.4728369007331885E-3</v>
      </c>
      <c r="J162">
        <f>(Datenabzug!J162/Datenabzug!J161-1)</f>
        <v>9.8145549934043341E-3</v>
      </c>
      <c r="K162">
        <f>(Datenabzug!K162/Datenabzug!K161-1)</f>
        <v>7.8515735284734323E-3</v>
      </c>
    </row>
    <row r="163" spans="1:11">
      <c r="A163" s="1">
        <v>45526</v>
      </c>
      <c r="B163">
        <f>(Datenabzug!B163/Datenabzug!B162-1)</f>
        <v>-3.8632197269276025E-3</v>
      </c>
      <c r="C163">
        <f>(Datenabzug!C163/Datenabzug!C162-1)</f>
        <v>-3.4497116737238764E-3</v>
      </c>
      <c r="D163">
        <f>(Datenabzug!D163/Datenabzug!D162-1)</f>
        <v>-2.0252821564565204E-2</v>
      </c>
      <c r="E163">
        <f>(Datenabzug!E163/Datenabzug!E162-1)</f>
        <v>-1.1705263371708741E-2</v>
      </c>
      <c r="F163">
        <f>(Datenabzug!F163/Datenabzug!F162-1)</f>
        <v>-7.02360278250036E-3</v>
      </c>
      <c r="G163">
        <f>(Datenabzug!G163/Datenabzug!G162-1)</f>
        <v>-3.7042817807030226E-2</v>
      </c>
      <c r="H163">
        <f>(Datenabzug!H163/Datenabzug!H162-1)</f>
        <v>3.024917183264586E-3</v>
      </c>
      <c r="I163">
        <f>(Datenabzug!I163/Datenabzug!I162-1)</f>
        <v>-3.7724430453752733E-3</v>
      </c>
      <c r="J163">
        <f>(Datenabzug!J163/Datenabzug!J162-1)</f>
        <v>-5.6478704568674654E-2</v>
      </c>
      <c r="K163">
        <f>(Datenabzug!K163/Datenabzug!K162-1)</f>
        <v>5.1466984828700824E-3</v>
      </c>
    </row>
    <row r="164" spans="1:11">
      <c r="A164" s="1">
        <v>45527</v>
      </c>
      <c r="B164">
        <f>(Datenabzug!B164/Datenabzug!B163-1)</f>
        <v>1.2734500329848908E-2</v>
      </c>
      <c r="C164">
        <f>(Datenabzug!C164/Datenabzug!C163-1)</f>
        <v>6.6348262060402785E-3</v>
      </c>
      <c r="D164">
        <f>(Datenabzug!D164/Datenabzug!D163-1)</f>
        <v>2.9840087094419321E-3</v>
      </c>
      <c r="E164">
        <f>(Datenabzug!E164/Datenabzug!E163-1)</f>
        <v>-3.2368227949146622E-3</v>
      </c>
      <c r="F164">
        <f>(Datenabzug!F164/Datenabzug!F163-1)</f>
        <v>7.6729145602159043E-3</v>
      </c>
      <c r="G164">
        <f>(Datenabzug!G164/Datenabzug!G163-1)</f>
        <v>4.5498481286967651E-2</v>
      </c>
      <c r="H164">
        <f>(Datenabzug!H164/Datenabzug!H163-1)</f>
        <v>7.3961794715216023E-4</v>
      </c>
      <c r="I164">
        <f>(Datenabzug!I164/Datenabzug!I163-1)</f>
        <v>1.720227962201859E-2</v>
      </c>
      <c r="J164">
        <f>(Datenabzug!J164/Datenabzug!J163-1)</f>
        <v>4.5855898102058701E-2</v>
      </c>
      <c r="K164">
        <f>(Datenabzug!K164/Datenabzug!K163-1)</f>
        <v>-1.2905943113287077E-2</v>
      </c>
    </row>
    <row r="165" spans="1:11">
      <c r="A165" s="1">
        <v>45530</v>
      </c>
      <c r="B165">
        <f>(Datenabzug!B165/Datenabzug!B164-1)</f>
        <v>-8.4591388290721214E-3</v>
      </c>
      <c r="C165">
        <f>(Datenabzug!C165/Datenabzug!C164-1)</f>
        <v>1.5045124120727005E-2</v>
      </c>
      <c r="D165">
        <f>(Datenabzug!D165/Datenabzug!D164-1)</f>
        <v>-7.9177250662653131E-3</v>
      </c>
      <c r="E165">
        <f>(Datenabzug!E165/Datenabzug!E164-1)</f>
        <v>2.4900936631437887E-3</v>
      </c>
      <c r="F165">
        <f>(Datenabzug!F165/Datenabzug!F164-1)</f>
        <v>2.7363947736929184E-3</v>
      </c>
      <c r="G165">
        <f>(Datenabzug!G165/Datenabzug!G164-1)</f>
        <v>-2.2493562194291883E-2</v>
      </c>
      <c r="H165">
        <f>(Datenabzug!H165/Datenabzug!H164-1)</f>
        <v>5.6866857367721124E-4</v>
      </c>
      <c r="I165">
        <f>(Datenabzug!I165/Datenabzug!I164-1)</f>
        <v>1.7123991494301549E-2</v>
      </c>
      <c r="J165">
        <f>(Datenabzug!J165/Datenabzug!J164-1)</f>
        <v>-3.2271243527548066E-2</v>
      </c>
      <c r="K165">
        <f>(Datenabzug!K165/Datenabzug!K164-1)</f>
        <v>1.399848322343078E-2</v>
      </c>
    </row>
    <row r="166" spans="1:11">
      <c r="A166" s="1">
        <v>45531</v>
      </c>
      <c r="B166">
        <f>(Datenabzug!B166/Datenabzug!B165-1)</f>
        <v>-2.4786297346776065E-3</v>
      </c>
      <c r="C166">
        <f>(Datenabzug!C166/Datenabzug!C165-1)</f>
        <v>9.316826643396503E-3</v>
      </c>
      <c r="D166">
        <f>(Datenabzug!D166/Datenabzug!D165-1)</f>
        <v>8.4644951472756524E-4</v>
      </c>
      <c r="E166">
        <f>(Datenabzug!E166/Datenabzug!E165-1)</f>
        <v>1.0574586363230054E-2</v>
      </c>
      <c r="F166">
        <f>(Datenabzug!F166/Datenabzug!F165-1)</f>
        <v>1.1983868140094334E-2</v>
      </c>
      <c r="G166">
        <f>(Datenabzug!G166/Datenabzug!G165-1)</f>
        <v>1.4550157421816312E-2</v>
      </c>
      <c r="H166">
        <f>(Datenabzug!H166/Datenabzug!H165-1)</f>
        <v>-3.8074826209356649E-3</v>
      </c>
      <c r="I166">
        <f>(Datenabzug!I166/Datenabzug!I165-1)</f>
        <v>3.1057260129232267E-2</v>
      </c>
      <c r="J166">
        <f>(Datenabzug!J166/Datenabzug!J165-1)</f>
        <v>-1.8760845523390968E-2</v>
      </c>
      <c r="K166">
        <f>(Datenabzug!K166/Datenabzug!K165-1)</f>
        <v>9.2501105002620321E-3</v>
      </c>
    </row>
    <row r="167" spans="1:11">
      <c r="A167" s="1">
        <v>45532</v>
      </c>
      <c r="B167">
        <f>(Datenabzug!B167/Datenabzug!B166-1)</f>
        <v>-1.3522082037699446E-2</v>
      </c>
      <c r="C167">
        <f>(Datenabzug!C167/Datenabzug!C166-1)</f>
        <v>3.4964013512039926E-3</v>
      </c>
      <c r="D167">
        <f>(Datenabzug!D167/Datenabzug!D166-1)</f>
        <v>-7.8290072250081222E-3</v>
      </c>
      <c r="E167">
        <f>(Datenabzug!E167/Datenabzug!E166-1)</f>
        <v>-1.7075755114016156E-2</v>
      </c>
      <c r="F167">
        <f>(Datenabzug!F167/Datenabzug!F166-1)</f>
        <v>-2.9311681984591775E-2</v>
      </c>
      <c r="G167">
        <f>(Datenabzug!G167/Datenabzug!G166-1)</f>
        <v>-2.0966523088019828E-2</v>
      </c>
      <c r="H167">
        <f>(Datenabzug!H167/Datenabzug!H166-1)</f>
        <v>-7.8722228201402178E-3</v>
      </c>
      <c r="I167">
        <f>(Datenabzug!I167/Datenabzug!I166-1)</f>
        <v>-3.3468544247724052E-2</v>
      </c>
      <c r="J167">
        <f>(Datenabzug!J167/Datenabzug!J166-1)</f>
        <v>-1.6538437946704843E-2</v>
      </c>
      <c r="K167">
        <f>(Datenabzug!K167/Datenabzug!K166-1)</f>
        <v>4.9646119067729977E-3</v>
      </c>
    </row>
    <row r="168" spans="1:11">
      <c r="A168" s="1">
        <v>45533</v>
      </c>
      <c r="B168">
        <f>(Datenabzug!B168/Datenabzug!B167-1)</f>
        <v>9.0796539863418069E-3</v>
      </c>
      <c r="C168">
        <f>(Datenabzug!C168/Datenabzug!C167-1)</f>
        <v>4.1812599442410114E-3</v>
      </c>
      <c r="D168">
        <f>(Datenabzug!D168/Datenabzug!D167-1)</f>
        <v>6.1372267850825502E-3</v>
      </c>
      <c r="E168">
        <f>(Datenabzug!E168/Datenabzug!E167-1)</f>
        <v>1.2634466065128525E-2</v>
      </c>
      <c r="F168">
        <f>(Datenabzug!F168/Datenabzug!F167-1)</f>
        <v>5.6769432423340316E-3</v>
      </c>
      <c r="G168">
        <f>(Datenabzug!G168/Datenabzug!G167-1)</f>
        <v>-6.3848450262485201E-2</v>
      </c>
      <c r="H168">
        <f>(Datenabzug!H168/Datenabzug!H167-1)</f>
        <v>-1.0522204773673716E-2</v>
      </c>
      <c r="I168">
        <f>(Datenabzug!I168/Datenabzug!I167-1)</f>
        <v>-4.6170619728632678E-3</v>
      </c>
      <c r="J168">
        <f>(Datenabzug!J168/Datenabzug!J167-1)</f>
        <v>2.5759357438444042E-3</v>
      </c>
      <c r="K168">
        <f>(Datenabzug!K168/Datenabzug!K167-1)</f>
        <v>8.2564787772185788E-3</v>
      </c>
    </row>
    <row r="169" spans="1:11">
      <c r="A169" s="1">
        <v>45534</v>
      </c>
      <c r="B169">
        <f>(Datenabzug!B169/Datenabzug!B168-1)</f>
        <v>8.5917278156553145E-3</v>
      </c>
      <c r="C169">
        <f>(Datenabzug!C169/Datenabzug!C168-1)</f>
        <v>5.8293897281682661E-3</v>
      </c>
      <c r="D169">
        <f>(Datenabzug!D169/Datenabzug!D168-1)</f>
        <v>9.7309250107546763E-3</v>
      </c>
      <c r="E169">
        <f>(Datenabzug!E169/Datenabzug!E168-1)</f>
        <v>1.2809027506012205E-2</v>
      </c>
      <c r="F169">
        <f>(Datenabzug!F169/Datenabzug!F168-1)</f>
        <v>7.2061127004574566E-4</v>
      </c>
      <c r="G169">
        <f>(Datenabzug!G169/Datenabzug!G168-1)</f>
        <v>1.5137375405546383E-2</v>
      </c>
      <c r="H169">
        <f>(Datenabzug!H169/Datenabzug!H168-1)</f>
        <v>4.590737856696947E-3</v>
      </c>
      <c r="I169">
        <f>(Datenabzug!I169/Datenabzug!I168-1)</f>
        <v>-3.0570856460854223E-3</v>
      </c>
      <c r="J169">
        <f>(Datenabzug!J169/Datenabzug!J168-1)</f>
        <v>3.7958124284422246E-2</v>
      </c>
      <c r="K169">
        <f>(Datenabzug!K169/Datenabzug!K168-1)</f>
        <v>8.5639641168211433E-4</v>
      </c>
    </row>
    <row r="170" spans="1:11">
      <c r="A170" s="1">
        <v>45538</v>
      </c>
      <c r="B170">
        <f>(Datenabzug!B170/Datenabzug!B169-1)</f>
        <v>-7.3212851493805742E-2</v>
      </c>
      <c r="C170">
        <f>(Datenabzug!C170/Datenabzug!C169-1)</f>
        <v>7.4513836441869596E-3</v>
      </c>
      <c r="D170">
        <f>(Datenabzug!D170/Datenabzug!D169-1)</f>
        <v>-1.8459019057064263E-2</v>
      </c>
      <c r="E170">
        <f>(Datenabzug!E170/Datenabzug!E169-1)</f>
        <v>-3.7114093060276465E-2</v>
      </c>
      <c r="F170">
        <f>(Datenabzug!F170/Datenabzug!F169-1)</f>
        <v>-1.9650412413984575E-2</v>
      </c>
      <c r="G170">
        <f>(Datenabzug!G170/Datenabzug!G169-1)</f>
        <v>-9.5250123968078415E-2</v>
      </c>
      <c r="H170">
        <f>(Datenabzug!H170/Datenabzug!H169-1)</f>
        <v>2.6955130644525482E-2</v>
      </c>
      <c r="I170">
        <f>(Datenabzug!I170/Datenabzug!I169-1)</f>
        <v>-1.46982146314939E-2</v>
      </c>
      <c r="J170">
        <f>(Datenabzug!J170/Datenabzug!J169-1)</f>
        <v>-1.639341692041596E-2</v>
      </c>
      <c r="K170">
        <f>(Datenabzug!K170/Datenabzug!K169-1)</f>
        <v>3.7678369825622227E-4</v>
      </c>
    </row>
    <row r="171" spans="1:11">
      <c r="A171" s="1">
        <v>45539</v>
      </c>
      <c r="B171">
        <f>(Datenabzug!B171/Datenabzug!B170-1)</f>
        <v>1.3662879703570496E-2</v>
      </c>
      <c r="C171">
        <f>(Datenabzug!C171/Datenabzug!C170-1)</f>
        <v>-6.1637027303008685E-3</v>
      </c>
      <c r="D171">
        <f>(Datenabzug!D171/Datenabzug!D170-1)</f>
        <v>-1.318894171112972E-3</v>
      </c>
      <c r="E171">
        <f>(Datenabzug!E171/Datenabzug!E170-1)</f>
        <v>6.4561767817872262E-3</v>
      </c>
      <c r="F171">
        <f>(Datenabzug!F171/Datenabzug!F170-1)</f>
        <v>-3.6891356538726328E-3</v>
      </c>
      <c r="G171">
        <f>(Datenabzug!G171/Datenabzug!G170-1)</f>
        <v>-1.6574089810091563E-2</v>
      </c>
      <c r="H171">
        <f>(Datenabzug!H171/Datenabzug!H170-1)</f>
        <v>5.5198893456729348E-3</v>
      </c>
      <c r="I171">
        <f>(Datenabzug!I171/Datenabzug!I170-1)</f>
        <v>-9.1219856311438585E-3</v>
      </c>
      <c r="J171">
        <f>(Datenabzug!J171/Datenabzug!J170-1)</f>
        <v>4.1832845694523391E-2</v>
      </c>
      <c r="K171">
        <f>(Datenabzug!K171/Datenabzug!K170-1)</f>
        <v>7.3916874893740214E-3</v>
      </c>
    </row>
    <row r="172" spans="1:11">
      <c r="A172" s="1">
        <v>45540</v>
      </c>
      <c r="B172">
        <f>(Datenabzug!B172/Datenabzug!B171-1)</f>
        <v>-6.5556139947099412E-3</v>
      </c>
      <c r="C172">
        <f>(Datenabzug!C172/Datenabzug!C171-1)</f>
        <v>-1.9156525456287432E-2</v>
      </c>
      <c r="D172">
        <f>(Datenabzug!D172/Datenabzug!D171-1)</f>
        <v>-1.2472923096882305E-3</v>
      </c>
      <c r="E172">
        <f>(Datenabzug!E172/Datenabzug!E171-1)</f>
        <v>5.7968492288480444E-3</v>
      </c>
      <c r="F172">
        <f>(Datenabzug!F172/Datenabzug!F171-1)</f>
        <v>-2.3451295231600167E-3</v>
      </c>
      <c r="G172">
        <f>(Datenabzug!G172/Datenabzug!G171-1)</f>
        <v>9.4153380528207986E-3</v>
      </c>
      <c r="H172">
        <f>(Datenabzug!H172/Datenabzug!H171-1)</f>
        <v>4.3693104706852282E-3</v>
      </c>
      <c r="I172">
        <f>(Datenabzug!I172/Datenabzug!I171-1)</f>
        <v>-8.3397227966292009E-3</v>
      </c>
      <c r="J172">
        <f>(Datenabzug!J172/Datenabzug!J171-1)</f>
        <v>4.9040583051110032E-2</v>
      </c>
      <c r="K172">
        <f>(Datenabzug!K172/Datenabzug!K171-1)</f>
        <v>-2.4118027630468664E-3</v>
      </c>
    </row>
    <row r="173" spans="1:11">
      <c r="A173" s="1">
        <v>45541</v>
      </c>
      <c r="B173">
        <f>(Datenabzug!B173/Datenabzug!B172-1)</f>
        <v>-2.7937088805497945E-2</v>
      </c>
      <c r="C173">
        <f>(Datenabzug!C173/Datenabzug!C172-1)</f>
        <v>-4.214783142223455E-4</v>
      </c>
      <c r="D173">
        <f>(Datenabzug!D173/Datenabzug!D172-1)</f>
        <v>-1.6381394202149679E-2</v>
      </c>
      <c r="E173">
        <f>(Datenabzug!E173/Datenabzug!E172-1)</f>
        <v>-2.6110961811286915E-2</v>
      </c>
      <c r="F173">
        <f>(Datenabzug!F173/Datenabzug!F172-1)</f>
        <v>-2.4742691557176899E-3</v>
      </c>
      <c r="G173">
        <f>(Datenabzug!G173/Datenabzug!G172-1)</f>
        <v>-4.0854323644192059E-2</v>
      </c>
      <c r="H173">
        <f>(Datenabzug!H173/Datenabzug!H172-1)</f>
        <v>-3.4000135125620279E-3</v>
      </c>
      <c r="I173">
        <f>(Datenabzug!I173/Datenabzug!I172-1)</f>
        <v>-4.4778951201901451E-3</v>
      </c>
      <c r="J173">
        <f>(Datenabzug!J173/Datenabzug!J172-1)</f>
        <v>-8.4459323960792698E-2</v>
      </c>
      <c r="K173">
        <f>(Datenabzug!K173/Datenabzug!K172-1)</f>
        <v>-8.7854600105923275E-3</v>
      </c>
    </row>
    <row r="174" spans="1:11">
      <c r="A174" s="1">
        <v>45544</v>
      </c>
      <c r="B174">
        <f>(Datenabzug!B174/Datenabzug!B173-1)</f>
        <v>3.356178599668791E-2</v>
      </c>
      <c r="C174">
        <f>(Datenabzug!C174/Datenabzug!C173-1)</f>
        <v>9.9802230074736986E-3</v>
      </c>
      <c r="D174">
        <f>(Datenabzug!D174/Datenabzug!D173-1)</f>
        <v>1.0007566693039704E-2</v>
      </c>
      <c r="E174">
        <f>(Datenabzug!E174/Datenabzug!E173-1)</f>
        <v>1.4494439665066805E-2</v>
      </c>
      <c r="F174">
        <f>(Datenabzug!F174/Datenabzug!F173-1)</f>
        <v>-1.4138643341468415E-2</v>
      </c>
      <c r="G174">
        <f>(Datenabzug!G174/Datenabzug!G173-1)</f>
        <v>3.5398197905604611E-2</v>
      </c>
      <c r="H174">
        <f>(Datenabzug!H174/Datenabzug!H173-1)</f>
        <v>4.7930561266469329E-3</v>
      </c>
      <c r="I174">
        <f>(Datenabzug!I174/Datenabzug!I173-1)</f>
        <v>1.1629201928249122E-2</v>
      </c>
      <c r="J174">
        <f>(Datenabzug!J174/Datenabzug!J173-1)</f>
        <v>2.6289605928165427E-2</v>
      </c>
      <c r="K174">
        <f>(Datenabzug!K174/Datenabzug!K173-1)</f>
        <v>1.1233557385088355E-2</v>
      </c>
    </row>
    <row r="175" spans="1:11">
      <c r="A175" s="1">
        <v>45545</v>
      </c>
      <c r="B175">
        <f>(Datenabzug!B175/Datenabzug!B174-1)</f>
        <v>-1.7432915561044537E-2</v>
      </c>
      <c r="C175">
        <f>(Datenabzug!C175/Datenabzug!C174-1)</f>
        <v>-4.1752218294940358E-3</v>
      </c>
      <c r="D175">
        <f>(Datenabzug!D175/Datenabzug!D174-1)</f>
        <v>2.09011550048952E-2</v>
      </c>
      <c r="E175">
        <f>(Datenabzug!E175/Datenabzug!E174-1)</f>
        <v>-2.6649904333796437E-3</v>
      </c>
      <c r="F175">
        <f>(Datenabzug!F175/Datenabzug!F174-1)</f>
        <v>-1.7612340145352734E-2</v>
      </c>
      <c r="G175">
        <f>(Datenabzug!G175/Datenabzug!G174-1)</f>
        <v>1.5309412795470489E-2</v>
      </c>
      <c r="H175">
        <f>(Datenabzug!H175/Datenabzug!H174-1)</f>
        <v>-2.1326125269743867E-3</v>
      </c>
      <c r="I175">
        <f>(Datenabzug!I175/Datenabzug!I174-1)</f>
        <v>1.2254569543725502E-2</v>
      </c>
      <c r="J175">
        <f>(Datenabzug!J175/Datenabzug!J174-1)</f>
        <v>4.577608406579059E-2</v>
      </c>
      <c r="K175">
        <f>(Datenabzug!K175/Datenabzug!K174-1)</f>
        <v>-9.240192135078984E-3</v>
      </c>
    </row>
    <row r="176" spans="1:11">
      <c r="A176" s="1">
        <v>45546</v>
      </c>
      <c r="B176">
        <f>(Datenabzug!B176/Datenabzug!B175-1)</f>
        <v>7.8715215167317609E-3</v>
      </c>
      <c r="C176">
        <f>(Datenabzug!C176/Datenabzug!C175-1)</f>
        <v>-6.5690050078297535E-3</v>
      </c>
      <c r="D176">
        <f>(Datenabzug!D176/Datenabzug!D175-1)</f>
        <v>2.1342250603920476E-2</v>
      </c>
      <c r="E176">
        <f>(Datenabzug!E176/Datenabzug!E175-1)</f>
        <v>1.1653418311272645E-2</v>
      </c>
      <c r="F176">
        <f>(Datenabzug!F176/Datenabzug!F175-1)</f>
        <v>3.9698912984194035E-3</v>
      </c>
      <c r="G176">
        <f>(Datenabzug!G176/Datenabzug!G175-1)</f>
        <v>8.1498640818598922E-2</v>
      </c>
      <c r="H176">
        <f>(Datenabzug!H176/Datenabzug!H175-1)</f>
        <v>-1.1416630895635271E-2</v>
      </c>
      <c r="I176">
        <f>(Datenabzug!I176/Datenabzug!I175-1)</f>
        <v>5.2067658294386421E-2</v>
      </c>
      <c r="J176">
        <f>(Datenabzug!J176/Datenabzug!J175-1)</f>
        <v>8.6660774184685874E-3</v>
      </c>
      <c r="K176">
        <f>(Datenabzug!K176/Datenabzug!K175-1)</f>
        <v>-1.220692533833645E-2</v>
      </c>
    </row>
    <row r="177" spans="1:11">
      <c r="A177" s="1">
        <v>45547</v>
      </c>
      <c r="B177">
        <f>(Datenabzug!B177/Datenabzug!B176-1)</f>
        <v>8.9258192838426176E-3</v>
      </c>
      <c r="C177">
        <f>(Datenabzug!C177/Datenabzug!C176-1)</f>
        <v>2.110501967824252E-3</v>
      </c>
      <c r="D177">
        <f>(Datenabzug!D177/Datenabzug!D176-1)</f>
        <v>9.3608111396894511E-3</v>
      </c>
      <c r="E177">
        <f>(Datenabzug!E177/Datenabzug!E176-1)</f>
        <v>7.8213528386930076E-3</v>
      </c>
      <c r="F177">
        <f>(Datenabzug!F177/Datenabzug!F176-1)</f>
        <v>0</v>
      </c>
      <c r="G177">
        <f>(Datenabzug!G177/Datenabzug!G176-1)</f>
        <v>1.9161698693134888E-2</v>
      </c>
      <c r="H177">
        <f>(Datenabzug!H177/Datenabzug!H176-1)</f>
        <v>8.3626645808909661E-3</v>
      </c>
      <c r="I177">
        <f>(Datenabzug!I177/Datenabzug!I176-1)</f>
        <v>1.0998049809290533E-2</v>
      </c>
      <c r="J177">
        <f>(Datenabzug!J177/Datenabzug!J176-1)</f>
        <v>7.364189890952888E-3</v>
      </c>
      <c r="K177">
        <f>(Datenabzug!K177/Datenabzug!K176-1)</f>
        <v>5.4152075274054301E-3</v>
      </c>
    </row>
    <row r="178" spans="1:11">
      <c r="A178" s="1">
        <v>45548</v>
      </c>
      <c r="B178">
        <f>(Datenabzug!B178/Datenabzug!B177-1)</f>
        <v>-3.6861828607908764E-2</v>
      </c>
      <c r="C178">
        <f>(Datenabzug!C178/Datenabzug!C177-1)</f>
        <v>9.3998674233499724E-3</v>
      </c>
      <c r="D178">
        <f>(Datenabzug!D178/Datenabzug!D177-1)</f>
        <v>8.4074595715581957E-3</v>
      </c>
      <c r="E178">
        <f>(Datenabzug!E178/Datenabzug!E177-1)</f>
        <v>1.4938861310402007E-2</v>
      </c>
      <c r="F178">
        <f>(Datenabzug!F178/Datenabzug!F177-1)</f>
        <v>7.7806314181547709E-3</v>
      </c>
      <c r="G178">
        <f>(Datenabzug!G178/Datenabzug!G177-1)</f>
        <v>-3.3576043333116701E-4</v>
      </c>
      <c r="H178">
        <f>(Datenabzug!H178/Datenabzug!H177-1)</f>
        <v>6.2063242878318547E-4</v>
      </c>
      <c r="I178">
        <f>(Datenabzug!I178/Datenabzug!I177-1)</f>
        <v>-7.1515137280693253E-3</v>
      </c>
      <c r="J178">
        <f>(Datenabzug!J178/Datenabzug!J177-1)</f>
        <v>2.0886633855718983E-3</v>
      </c>
      <c r="K178">
        <f>(Datenabzug!K178/Datenabzug!K177-1)</f>
        <v>3.659693877171355E-3</v>
      </c>
    </row>
    <row r="179" spans="1:11">
      <c r="A179" s="1">
        <v>45551</v>
      </c>
      <c r="B179">
        <f>(Datenabzug!B179/Datenabzug!B178-1)</f>
        <v>-7.7821087418145085E-3</v>
      </c>
      <c r="C179">
        <f>(Datenabzug!C179/Datenabzug!C178-1)</f>
        <v>9.6624762661994268E-3</v>
      </c>
      <c r="D179">
        <f>(Datenabzug!D179/Datenabzug!D178-1)</f>
        <v>1.7417983702816553E-3</v>
      </c>
      <c r="E179">
        <f>(Datenabzug!E179/Datenabzug!E178-1)</f>
        <v>-8.0337067189961697E-4</v>
      </c>
      <c r="F179">
        <f>(Datenabzug!F179/Datenabzug!F178-1)</f>
        <v>9.9987764936748658E-3</v>
      </c>
      <c r="G179">
        <f>(Datenabzug!G179/Datenabzug!G178-1)</f>
        <v>-1.9479428567034662E-2</v>
      </c>
      <c r="H179">
        <f>(Datenabzug!H179/Datenabzug!H178-1)</f>
        <v>-8.4572766383239628E-4</v>
      </c>
      <c r="I179">
        <f>(Datenabzug!I179/Datenabzug!I178-1)</f>
        <v>-2.2927902790725763E-2</v>
      </c>
      <c r="J179">
        <f>(Datenabzug!J179/Datenabzug!J178-1)</f>
        <v>-1.524162842140897E-2</v>
      </c>
      <c r="K179">
        <f>(Datenabzug!K179/Datenabzug!K178-1)</f>
        <v>1.1248733935972144E-2</v>
      </c>
    </row>
    <row r="180" spans="1:11">
      <c r="A180" s="1">
        <v>45552</v>
      </c>
      <c r="B180">
        <f>(Datenabzug!B180/Datenabzug!B179-1)</f>
        <v>5.4001692151142144E-3</v>
      </c>
      <c r="C180">
        <f>(Datenabzug!C180/Datenabzug!C179-1)</f>
        <v>-4.1608629014826537E-3</v>
      </c>
      <c r="D180">
        <f>(Datenabzug!D180/Datenabzug!D179-1)</f>
        <v>8.8329761215732994E-3</v>
      </c>
      <c r="E180">
        <f>(Datenabzug!E180/Datenabzug!E179-1)</f>
        <v>1.4946120810525487E-2</v>
      </c>
      <c r="F180">
        <f>(Datenabzug!F180/Datenabzug!F179-1)</f>
        <v>1.0526196052139225E-2</v>
      </c>
      <c r="G180">
        <f>(Datenabzug!G180/Datenabzug!G179-1)</f>
        <v>-1.0190116841313768E-2</v>
      </c>
      <c r="H180">
        <f>(Datenabzug!H180/Datenabzug!H179-1)</f>
        <v>-1.9186466539798941E-3</v>
      </c>
      <c r="I180">
        <f>(Datenabzug!I180/Datenabzug!I179-1)</f>
        <v>1.3498521142829567E-3</v>
      </c>
      <c r="J180">
        <f>(Datenabzug!J180/Datenabzug!J179-1)</f>
        <v>4.8064041968347571E-3</v>
      </c>
      <c r="K180">
        <f>(Datenabzug!K180/Datenabzug!K179-1)</f>
        <v>-3.503813467694572E-3</v>
      </c>
    </row>
    <row r="181" spans="1:11">
      <c r="A181" s="1">
        <v>45553</v>
      </c>
      <c r="B181">
        <f>(Datenabzug!B181/Datenabzug!B180-1)</f>
        <v>-8.1846587652185665E-3</v>
      </c>
      <c r="C181">
        <f>(Datenabzug!C181/Datenabzug!C180-1)</f>
        <v>-6.963746697753459E-4</v>
      </c>
      <c r="D181">
        <f>(Datenabzug!D181/Datenabzug!D180-1)</f>
        <v>-9.9736110494867969E-3</v>
      </c>
      <c r="E181">
        <f>(Datenabzug!E181/Datenabzug!E180-1)</f>
        <v>-2.3256147269045235E-2</v>
      </c>
      <c r="F181">
        <f>(Datenabzug!F181/Datenabzug!F180-1)</f>
        <v>3.2241860907240572E-3</v>
      </c>
      <c r="G181">
        <f>(Datenabzug!G181/Datenabzug!G180-1)</f>
        <v>-1.9205825423089351E-2</v>
      </c>
      <c r="H181">
        <f>(Datenabzug!H181/Datenabzug!H180-1)</f>
        <v>-9.3853036105415732E-3</v>
      </c>
      <c r="I181">
        <f>(Datenabzug!I181/Datenabzug!I180-1)</f>
        <v>-3.318177975264458E-3</v>
      </c>
      <c r="J181">
        <f>(Datenabzug!J181/Datenabzug!J180-1)</f>
        <v>-2.9402649901336675E-3</v>
      </c>
      <c r="K181">
        <f>(Datenabzug!K181/Datenabzug!K180-1)</f>
        <v>-1.5020211733115518E-3</v>
      </c>
    </row>
    <row r="182" spans="1:11">
      <c r="A182" s="1">
        <v>45554</v>
      </c>
      <c r="B182">
        <f>(Datenabzug!B182/Datenabzug!B181-1)</f>
        <v>-3.3524870763638193E-3</v>
      </c>
      <c r="C182">
        <f>(Datenabzug!C182/Datenabzug!C181-1)</f>
        <v>-1.5749078244839287E-2</v>
      </c>
      <c r="D182">
        <f>(Datenabzug!D182/Datenabzug!D181-1)</f>
        <v>1.8291121891910622E-2</v>
      </c>
      <c r="E182">
        <f>(Datenabzug!E182/Datenabzug!E181-1)</f>
        <v>2.0058854416201477E-2</v>
      </c>
      <c r="F182">
        <f>(Datenabzug!F182/Datenabzug!F181-1)</f>
        <v>9.890238776419924E-4</v>
      </c>
      <c r="G182">
        <f>(Datenabzug!G182/Datenabzug!G181-1)</f>
        <v>3.9693098037788088E-2</v>
      </c>
      <c r="H182">
        <f>(Datenabzug!H182/Datenabzug!H181-1)</f>
        <v>-3.139202733522195E-3</v>
      </c>
      <c r="I182">
        <f>(Datenabzug!I182/Datenabzug!I181-1)</f>
        <v>8.1149605120012236E-3</v>
      </c>
      <c r="J182">
        <f>(Datenabzug!J182/Datenabzug!J181-1)</f>
        <v>7.3591555657071428E-2</v>
      </c>
      <c r="K182">
        <f>(Datenabzug!K182/Datenabzug!K181-1)</f>
        <v>-1.2615396436845949E-2</v>
      </c>
    </row>
    <row r="183" spans="1:11">
      <c r="A183" s="1">
        <v>45555</v>
      </c>
      <c r="B183">
        <f>(Datenabzug!B183/Datenabzug!B182-1)</f>
        <v>-8.4093607772430801E-3</v>
      </c>
      <c r="C183">
        <f>(Datenabzug!C183/Datenabzug!C182-1)</f>
        <v>1.4443479594753672E-2</v>
      </c>
      <c r="D183">
        <f>(Datenabzug!D183/Datenabzug!D182-1)</f>
        <v>-7.7959143346475468E-3</v>
      </c>
      <c r="E183">
        <f>(Datenabzug!E183/Datenabzug!E182-1)</f>
        <v>-4.671140948901753E-3</v>
      </c>
      <c r="F183">
        <f>(Datenabzug!F183/Datenabzug!F182-1)</f>
        <v>6.8411765506144251E-2</v>
      </c>
      <c r="G183">
        <f>(Datenabzug!G183/Datenabzug!G182-1)</f>
        <v>-1.5864923110005091E-2</v>
      </c>
      <c r="H183">
        <f>(Datenabzug!H183/Datenabzug!H182-1)</f>
        <v>-1.9924426911569038E-2</v>
      </c>
      <c r="I183">
        <f>(Datenabzug!I183/Datenabzug!I182-1)</f>
        <v>-8.7720311455232736E-3</v>
      </c>
      <c r="J183">
        <f>(Datenabzug!J183/Datenabzug!J182-1)</f>
        <v>-2.3245319004216336E-2</v>
      </c>
      <c r="K183">
        <f>(Datenabzug!K183/Datenabzug!K182-1)</f>
        <v>-1.5927696382599388E-3</v>
      </c>
    </row>
    <row r="184" spans="1:11">
      <c r="A184" s="1">
        <v>45558</v>
      </c>
      <c r="B184">
        <f>(Datenabzug!B184/Datenabzug!B183-1)</f>
        <v>1.9636048649349869E-2</v>
      </c>
      <c r="C184">
        <f>(Datenabzug!C184/Datenabzug!C183-1)</f>
        <v>1.2562956305295359E-3</v>
      </c>
      <c r="D184">
        <f>(Datenabzug!D184/Datenabzug!D183-1)</f>
        <v>-4.0433943271043216E-3</v>
      </c>
      <c r="E184">
        <f>(Datenabzug!E184/Datenabzug!E183-1)</f>
        <v>6.1908415316602738E-3</v>
      </c>
      <c r="F184">
        <f>(Datenabzug!F184/Datenabzug!F183-1)</f>
        <v>-3.6984954579658558E-3</v>
      </c>
      <c r="G184">
        <f>(Datenabzug!G184/Datenabzug!G183-1)</f>
        <v>2.2413876696754098E-3</v>
      </c>
      <c r="H184">
        <f>(Datenabzug!H184/Datenabzug!H183-1)</f>
        <v>5.4329613100390084E-3</v>
      </c>
      <c r="I184">
        <f>(Datenabzug!I184/Datenabzug!I183-1)</f>
        <v>-5.9343545509397133E-3</v>
      </c>
      <c r="J184">
        <f>(Datenabzug!J184/Datenabzug!J183-1)</f>
        <v>4.9317943336831149E-2</v>
      </c>
      <c r="K184">
        <f>(Datenabzug!K184/Datenabzug!K183-1)</f>
        <v>8.6700313087728631E-3</v>
      </c>
    </row>
    <row r="185" spans="1:11">
      <c r="A185" s="1">
        <v>45559</v>
      </c>
      <c r="B185">
        <f>(Datenabzug!B185/Datenabzug!B184-1)</f>
        <v>-3.1350318848152314E-3</v>
      </c>
      <c r="C185">
        <f>(Datenabzug!C185/Datenabzug!C184-1)</f>
        <v>-5.5765424458275037E-3</v>
      </c>
      <c r="D185">
        <f>(Datenabzug!D185/Datenabzug!D184-1)</f>
        <v>-1.0011341409711827E-2</v>
      </c>
      <c r="E185">
        <f>(Datenabzug!E185/Datenabzug!E184-1)</f>
        <v>2.3944900924842916E-2</v>
      </c>
      <c r="F185">
        <f>(Datenabzug!F185/Datenabzug!F184-1)</f>
        <v>1.4617139490470166E-2</v>
      </c>
      <c r="G185">
        <f>(Datenabzug!G185/Datenabzug!G184-1)</f>
        <v>3.9652516763790446E-2</v>
      </c>
      <c r="H185">
        <f>(Datenabzug!H185/Datenabzug!H184-1)</f>
        <v>-1.2724435815620883E-2</v>
      </c>
      <c r="I185">
        <f>(Datenabzug!I185/Datenabzug!I184-1)</f>
        <v>-1.078759531958251E-2</v>
      </c>
      <c r="J185">
        <f>(Datenabzug!J185/Datenabzug!J184-1)</f>
        <v>1.7080017089839972E-2</v>
      </c>
      <c r="K185">
        <f>(Datenabzug!K185/Datenabzug!K184-1)</f>
        <v>-5.6386625794203615E-3</v>
      </c>
    </row>
    <row r="186" spans="1:11">
      <c r="A186" s="1">
        <v>45560</v>
      </c>
      <c r="B186">
        <f>(Datenabzug!B186/Datenabzug!B185-1)</f>
        <v>-2.3040859984225115E-2</v>
      </c>
      <c r="C186">
        <f>(Datenabzug!C186/Datenabzug!C185-1)</f>
        <v>1.6823771999670001E-3</v>
      </c>
      <c r="D186">
        <f>(Datenabzug!D186/Datenabzug!D185-1)</f>
        <v>6.8503433575823891E-3</v>
      </c>
      <c r="E186">
        <f>(Datenabzug!E186/Datenabzug!E185-1)</f>
        <v>-9.6919696171360314E-4</v>
      </c>
      <c r="F186">
        <f>(Datenabzug!F186/Datenabzug!F185-1)</f>
        <v>6.1742259730150906E-3</v>
      </c>
      <c r="G186">
        <f>(Datenabzug!G186/Datenabzug!G185-1)</f>
        <v>2.1841622195802879E-2</v>
      </c>
      <c r="H186">
        <f>(Datenabzug!H186/Datenabzug!H185-1)</f>
        <v>-3.0603264496015248E-3</v>
      </c>
      <c r="I186">
        <f>(Datenabzug!I186/Datenabzug!I185-1)</f>
        <v>1.2387582462844104E-2</v>
      </c>
      <c r="J186">
        <f>(Datenabzug!J186/Datenabzug!J185-1)</f>
        <v>1.0815214909361881E-2</v>
      </c>
      <c r="K186">
        <f>(Datenabzug!K186/Datenabzug!K185-1)</f>
        <v>4.080177374882421E-3</v>
      </c>
    </row>
    <row r="187" spans="1:11">
      <c r="A187" s="1">
        <v>45561</v>
      </c>
      <c r="B187">
        <f>(Datenabzug!B187/Datenabzug!B186-1)</f>
        <v>1.5503879854324998E-2</v>
      </c>
      <c r="C187">
        <f>(Datenabzug!C187/Datenabzug!C186-1)</f>
        <v>-6.998950157478534E-4</v>
      </c>
      <c r="D187">
        <f>(Datenabzug!D187/Datenabzug!D186-1)</f>
        <v>-1.8513213032360643E-3</v>
      </c>
      <c r="E187">
        <f>(Datenabzug!E187/Datenabzug!E186-1)</f>
        <v>-1.4039033368100973E-2</v>
      </c>
      <c r="F187">
        <f>(Datenabzug!F187/Datenabzug!F186-1)</f>
        <v>1.5795504978843411E-2</v>
      </c>
      <c r="G187">
        <f>(Datenabzug!G187/Datenabzug!G186-1)</f>
        <v>4.291140394105275E-3</v>
      </c>
      <c r="H187">
        <f>(Datenabzug!H187/Datenabzug!H186-1)</f>
        <v>1.7119169133361645E-3</v>
      </c>
      <c r="I187">
        <f>(Datenabzug!I187/Datenabzug!I186-1)</f>
        <v>1.9347328915970907E-2</v>
      </c>
      <c r="J187">
        <f>(Datenabzug!J187/Datenabzug!J186-1)</f>
        <v>-1.0894046816020464E-2</v>
      </c>
      <c r="K187">
        <f>(Datenabzug!K187/Datenabzug!K186-1)</f>
        <v>2.6516188898242365E-3</v>
      </c>
    </row>
    <row r="188" spans="1:11">
      <c r="A188" s="1">
        <v>45562</v>
      </c>
      <c r="B188">
        <f>(Datenabzug!B188/Datenabzug!B187-1)</f>
        <v>1.1256342816360787E-2</v>
      </c>
      <c r="C188">
        <f>(Datenabzug!C188/Datenabzug!C187-1)</f>
        <v>5.4623929624182388E-3</v>
      </c>
      <c r="D188">
        <f>(Datenabzug!D188/Datenabzug!D187-1)</f>
        <v>-7.6279034414292735E-3</v>
      </c>
      <c r="E188">
        <f>(Datenabzug!E188/Datenabzug!E187-1)</f>
        <v>-5.7349523239784705E-3</v>
      </c>
      <c r="F188">
        <f>(Datenabzug!F188/Datenabzug!F187-1)</f>
        <v>5.5937653947868426E-4</v>
      </c>
      <c r="G188">
        <f>(Datenabzug!G188/Datenabzug!G187-1)</f>
        <v>-2.1283432507341549E-2</v>
      </c>
      <c r="H188">
        <f>(Datenabzug!H188/Datenabzug!H187-1)</f>
        <v>1.8269197062714682E-3</v>
      </c>
      <c r="I188">
        <f>(Datenabzug!I188/Datenabzug!I187-1)</f>
        <v>-1.1285279456592079E-3</v>
      </c>
      <c r="J188">
        <f>(Datenabzug!J188/Datenabzug!J187-1)</f>
        <v>2.4545630573566513E-2</v>
      </c>
      <c r="K188">
        <f>(Datenabzug!K188/Datenabzug!K187-1)</f>
        <v>6.3881543349084691E-3</v>
      </c>
    </row>
    <row r="189" spans="1:11">
      <c r="A189" s="1">
        <v>45565</v>
      </c>
      <c r="B189">
        <f>(Datenabzug!B189/Datenabzug!B188-1)</f>
        <v>-2.7379822399886344E-2</v>
      </c>
      <c r="C189">
        <f>(Datenabzug!C189/Datenabzug!C188-1)</f>
        <v>9.7490812028655505E-4</v>
      </c>
      <c r="D189">
        <f>(Datenabzug!D189/Datenabzug!D188-1)</f>
        <v>5.3268375118784572E-3</v>
      </c>
      <c r="E189">
        <f>(Datenabzug!E189/Datenabzug!E188-1)</f>
        <v>2.7144186210263932E-3</v>
      </c>
      <c r="F189">
        <f>(Datenabzug!F189/Datenabzug!F188-1)</f>
        <v>-1.1627920089179233E-2</v>
      </c>
      <c r="G189">
        <f>(Datenabzug!G189/Datenabzug!G188-1)</f>
        <v>3.294469986010462E-4</v>
      </c>
      <c r="H189">
        <f>(Datenabzug!H189/Datenabzug!H188-1)</f>
        <v>2.9414499132207617E-4</v>
      </c>
      <c r="I189">
        <f>(Datenabzug!I189/Datenabzug!I188-1)</f>
        <v>1.3352144222642526E-3</v>
      </c>
      <c r="J189">
        <f>(Datenabzug!J189/Datenabzug!J188-1)</f>
        <v>4.4921042237529019E-3</v>
      </c>
      <c r="K189">
        <f>(Datenabzug!K189/Datenabzug!K188-1)</f>
        <v>8.1809991403567484E-3</v>
      </c>
    </row>
    <row r="190" spans="1:11">
      <c r="A190" s="1">
        <v>45566</v>
      </c>
      <c r="B190">
        <f>(Datenabzug!B190/Datenabzug!B189-1)</f>
        <v>1.4338384838444185E-2</v>
      </c>
      <c r="C190">
        <f>(Datenabzug!C190/Datenabzug!C189-1)</f>
        <v>-2.0873797366246505E-3</v>
      </c>
      <c r="D190">
        <f>(Datenabzug!D190/Datenabzug!D189-1)</f>
        <v>-2.233320009995865E-2</v>
      </c>
      <c r="E190">
        <f>(Datenabzug!E190/Datenabzug!E189-1)</f>
        <v>-4.4271075358763845E-3</v>
      </c>
      <c r="F190">
        <f>(Datenabzug!F190/Datenabzug!F189-1)</f>
        <v>8.2578326144857606E-3</v>
      </c>
      <c r="G190">
        <f>(Datenabzug!G190/Datenabzug!G189-1)</f>
        <v>-3.6561223467698412E-2</v>
      </c>
      <c r="H190">
        <f>(Datenabzug!H190/Datenabzug!H189-1)</f>
        <v>7.8212545222093866E-3</v>
      </c>
      <c r="I190">
        <f>(Datenabzug!I190/Datenabzug!I189-1)</f>
        <v>-6.1541267928777454E-4</v>
      </c>
      <c r="J190">
        <f>(Datenabzug!J190/Datenabzug!J189-1)</f>
        <v>-1.3798172234709694E-2</v>
      </c>
      <c r="K190">
        <f>(Datenabzug!K190/Datenabzug!K189-1)</f>
        <v>2.0541163738011292E-2</v>
      </c>
    </row>
    <row r="191" spans="1:11">
      <c r="A191" s="1">
        <v>45567</v>
      </c>
      <c r="B191">
        <f>(Datenabzug!B191/Datenabzug!B190-1)</f>
        <v>-8.624055378858686E-3</v>
      </c>
      <c r="C191">
        <f>(Datenabzug!C191/Datenabzug!C190-1)</f>
        <v>-9.7614813559663283E-3</v>
      </c>
      <c r="D191">
        <f>(Datenabzug!D191/Datenabzug!D190-1)</f>
        <v>-8.4622758709963497E-3</v>
      </c>
      <c r="E191">
        <f>(Datenabzug!E191/Datenabzug!E190-1)</f>
        <v>7.0242334107855076E-3</v>
      </c>
      <c r="F191">
        <f>(Datenabzug!F191/Datenabzug!F190-1)</f>
        <v>-6.7653948475846271E-2</v>
      </c>
      <c r="G191">
        <f>(Datenabzug!G191/Datenabzug!G190-1)</f>
        <v>1.5811876589530982E-2</v>
      </c>
      <c r="H191">
        <f>(Datenabzug!H191/Datenabzug!H190-1)</f>
        <v>-1.0678138444345842E-2</v>
      </c>
      <c r="I191">
        <f>(Datenabzug!I191/Datenabzug!I190-1)</f>
        <v>-9.5453688224186317E-3</v>
      </c>
      <c r="J191">
        <f>(Datenabzug!J191/Datenabzug!J190-1)</f>
        <v>-3.4880959322628913E-2</v>
      </c>
      <c r="K191">
        <f>(Datenabzug!K191/Datenabzug!K190-1)</f>
        <v>-1.7200015565252524E-2</v>
      </c>
    </row>
    <row r="192" spans="1:11">
      <c r="A192" s="1">
        <v>45568</v>
      </c>
      <c r="B192">
        <f>(Datenabzug!B192/Datenabzug!B191-1)</f>
        <v>-1.5501308958396631E-2</v>
      </c>
      <c r="C192">
        <f>(Datenabzug!C192/Datenabzug!C191-1)</f>
        <v>-6.9005268229163086E-3</v>
      </c>
      <c r="D192">
        <f>(Datenabzug!D192/Datenabzug!D191-1)</f>
        <v>-1.4144563012022937E-3</v>
      </c>
      <c r="E192">
        <f>(Datenabzug!E192/Datenabzug!E191-1)</f>
        <v>-6.0330463098619003E-3</v>
      </c>
      <c r="F192">
        <f>(Datenabzug!F192/Datenabzug!F191-1)</f>
        <v>-1.2033683446335153E-2</v>
      </c>
      <c r="G192">
        <f>(Datenabzug!G192/Datenabzug!G191-1)</f>
        <v>3.3655917796476587E-2</v>
      </c>
      <c r="H192">
        <f>(Datenabzug!H192/Datenabzug!H191-1)</f>
        <v>-6.0158917369074194E-3</v>
      </c>
      <c r="I192">
        <f>(Datenabzug!I192/Datenabzug!I191-1)</f>
        <v>-9.7410223019217534E-3</v>
      </c>
      <c r="J192">
        <f>(Datenabzug!J192/Datenabzug!J191-1)</f>
        <v>-3.3571602549665402E-2</v>
      </c>
      <c r="K192">
        <f>(Datenabzug!K192/Datenabzug!K191-1)</f>
        <v>-1.631643899332702E-2</v>
      </c>
    </row>
    <row r="193" spans="1:11">
      <c r="A193" s="1">
        <v>45569</v>
      </c>
      <c r="B193">
        <f>(Datenabzug!B193/Datenabzug!B192-1)</f>
        <v>2.9763457350364231E-2</v>
      </c>
      <c r="C193">
        <f>(Datenabzug!C193/Datenabzug!C192-1)</f>
        <v>-4.9632121996069367E-3</v>
      </c>
      <c r="D193">
        <f>(Datenabzug!D193/Datenabzug!D192-1)</f>
        <v>-1.1524165596031866E-3</v>
      </c>
      <c r="E193">
        <f>(Datenabzug!E193/Datenabzug!E192-1)</f>
        <v>1.8251308201552519E-2</v>
      </c>
      <c r="F193">
        <f>(Datenabzug!F193/Datenabzug!F192-1)</f>
        <v>1.8270432450948615E-3</v>
      </c>
      <c r="G193">
        <f>(Datenabzug!G193/Datenabzug!G192-1)</f>
        <v>1.6849782218658405E-2</v>
      </c>
      <c r="H193">
        <f>(Datenabzug!H193/Datenabzug!H192-1)</f>
        <v>-3.3228615388368743E-3</v>
      </c>
      <c r="I193">
        <f>(Datenabzug!I193/Datenabzug!I192-1)</f>
        <v>1.0673965978100108E-2</v>
      </c>
      <c r="J193">
        <f>(Datenabzug!J193/Datenabzug!J192-1)</f>
        <v>3.9142350309986806E-2</v>
      </c>
      <c r="K193">
        <f>(Datenabzug!K193/Datenabzug!K192-1)</f>
        <v>3.4425118006575772E-4</v>
      </c>
    </row>
    <row r="194" spans="1:11">
      <c r="A194" s="1">
        <v>45572</v>
      </c>
      <c r="B194">
        <f>(Datenabzug!B194/Datenabzug!B193-1)</f>
        <v>5.8709913684451553E-3</v>
      </c>
      <c r="C194">
        <f>(Datenabzug!C194/Datenabzug!C193-1)</f>
        <v>-1.6531162299590729E-2</v>
      </c>
      <c r="D194">
        <f>(Datenabzug!D194/Datenabzug!D193-1)</f>
        <v>-1.5670820979143962E-2</v>
      </c>
      <c r="E194">
        <f>(Datenabzug!E194/Datenabzug!E193-1)</f>
        <v>-2.4704778373354164E-2</v>
      </c>
      <c r="F194">
        <f>(Datenabzug!F194/Datenabzug!F193-1)</f>
        <v>-1.7264510479171324E-2</v>
      </c>
      <c r="G194">
        <f>(Datenabzug!G194/Datenabzug!G193-1)</f>
        <v>2.2414401985425769E-2</v>
      </c>
      <c r="H194">
        <f>(Datenabzug!H194/Datenabzug!H193-1)</f>
        <v>-4.5245524386807734E-3</v>
      </c>
      <c r="I194">
        <f>(Datenabzug!I194/Datenabzug!I193-1)</f>
        <v>-5.0735071855766423E-3</v>
      </c>
      <c r="J194">
        <f>(Datenabzug!J194/Datenabzug!J193-1)</f>
        <v>-3.6988163516765371E-2</v>
      </c>
      <c r="K194">
        <f>(Datenabzug!K194/Datenabzug!K193-1)</f>
        <v>-9.2881948396797975E-3</v>
      </c>
    </row>
    <row r="195" spans="1:11">
      <c r="A195" s="1">
        <v>45573</v>
      </c>
      <c r="B195">
        <f>(Datenabzug!B195/Datenabzug!B194-1)</f>
        <v>-8.0816479765833948E-3</v>
      </c>
      <c r="C195">
        <f>(Datenabzug!C195/Datenabzug!C194-1)</f>
        <v>2.4634642083998237E-3</v>
      </c>
      <c r="D195">
        <f>(Datenabzug!D195/Datenabzug!D194-1)</f>
        <v>1.2623949684387847E-2</v>
      </c>
      <c r="E195">
        <f>(Datenabzug!E195/Datenabzug!E194-1)</f>
        <v>2.8265368330464558E-2</v>
      </c>
      <c r="F195">
        <f>(Datenabzug!F195/Datenabzug!F194-1)</f>
        <v>-7.4224235321496135E-4</v>
      </c>
      <c r="G195">
        <f>(Datenabzug!G195/Datenabzug!G194-1)</f>
        <v>4.0479101536442297E-2</v>
      </c>
      <c r="H195">
        <f>(Datenabzug!H195/Datenabzug!H194-1)</f>
        <v>1.9197304656039638E-2</v>
      </c>
      <c r="I195">
        <f>(Datenabzug!I195/Datenabzug!I194-1)</f>
        <v>1.2489199350109725E-3</v>
      </c>
      <c r="J195">
        <f>(Datenabzug!J195/Datenabzug!J194-1)</f>
        <v>1.5238957526232833E-2</v>
      </c>
      <c r="K195">
        <f>(Datenabzug!K195/Datenabzug!K194-1)</f>
        <v>1.7188073977430607E-2</v>
      </c>
    </row>
    <row r="196" spans="1:11">
      <c r="A196" s="1">
        <v>45574</v>
      </c>
      <c r="B196">
        <f>(Datenabzug!B196/Datenabzug!B195-1)</f>
        <v>-3.4141603541421484E-2</v>
      </c>
      <c r="C196">
        <f>(Datenabzug!C196/Datenabzug!C195-1)</f>
        <v>5.6373433496659242E-3</v>
      </c>
      <c r="D196">
        <f>(Datenabzug!D196/Datenabzug!D195-1)</f>
        <v>6.6311728037522499E-3</v>
      </c>
      <c r="E196">
        <f>(Datenabzug!E196/Datenabzug!E195-1)</f>
        <v>7.8557731565056521E-3</v>
      </c>
      <c r="F196">
        <f>(Datenabzug!F196/Datenabzug!F195-1)</f>
        <v>2.0799856147960094E-2</v>
      </c>
      <c r="G196">
        <f>(Datenabzug!G196/Datenabzug!G195-1)</f>
        <v>-1.8060030046851416E-3</v>
      </c>
      <c r="H196">
        <f>(Datenabzug!H196/Datenabzug!H195-1)</f>
        <v>1.2439870062602942E-2</v>
      </c>
      <c r="I196">
        <f>(Datenabzug!I196/Datenabzug!I195-1)</f>
        <v>-3.4300841436203378E-3</v>
      </c>
      <c r="J196">
        <f>(Datenabzug!J196/Datenabzug!J195-1)</f>
        <v>-1.4110416966229056E-2</v>
      </c>
      <c r="K196">
        <f>(Datenabzug!K196/Datenabzug!K195-1)</f>
        <v>1.7443809215593742E-2</v>
      </c>
    </row>
    <row r="197" spans="1:11">
      <c r="A197" s="1">
        <v>45575</v>
      </c>
      <c r="B197">
        <f>(Datenabzug!B197/Datenabzug!B196-1)</f>
        <v>-1.8410658699175242E-2</v>
      </c>
      <c r="C197">
        <f>(Datenabzug!C197/Datenabzug!C196-1)</f>
        <v>-4.5996118075612991E-3</v>
      </c>
      <c r="D197">
        <f>(Datenabzug!D197/Datenabzug!D196-1)</f>
        <v>-3.8806689874502087E-3</v>
      </c>
      <c r="E197">
        <f>(Datenabzug!E197/Datenabzug!E196-1)</f>
        <v>3.9316296830733677E-3</v>
      </c>
      <c r="F197">
        <f>(Datenabzug!F197/Datenabzug!F196-1)</f>
        <v>-4.2450352575136296E-3</v>
      </c>
      <c r="G197">
        <f>(Datenabzug!G197/Datenabzug!G196-1)</f>
        <v>1.6283550031591876E-2</v>
      </c>
      <c r="H197">
        <f>(Datenabzug!H197/Datenabzug!H196-1)</f>
        <v>2.6081516017226747E-3</v>
      </c>
      <c r="I197">
        <f>(Datenabzug!I197/Datenabzug!I196-1)</f>
        <v>-2.0859355442885419E-2</v>
      </c>
      <c r="J197">
        <f>(Datenabzug!J197/Datenabzug!J196-1)</f>
        <v>-9.4586133600149669E-3</v>
      </c>
      <c r="K197">
        <f>(Datenabzug!K197/Datenabzug!K196-1)</f>
        <v>-2.6203676594743652E-2</v>
      </c>
    </row>
    <row r="198" spans="1:11">
      <c r="A198" s="1">
        <v>45576</v>
      </c>
      <c r="B198">
        <f>(Datenabzug!B198/Datenabzug!B197-1)</f>
        <v>3.0009611934281422E-2</v>
      </c>
      <c r="C198">
        <f>(Datenabzug!C198/Datenabzug!C197-1)</f>
        <v>4.6208659973638877E-3</v>
      </c>
      <c r="D198">
        <f>(Datenabzug!D198/Datenabzug!D197-1)</f>
        <v>1.1542827270019096E-3</v>
      </c>
      <c r="E198">
        <f>(Datenabzug!E198/Datenabzug!E197-1)</f>
        <v>-1.0269893091315541E-2</v>
      </c>
      <c r="F198">
        <f>(Datenabzug!F198/Datenabzug!F197-1)</f>
        <v>6.0904591469079783E-4</v>
      </c>
      <c r="G198">
        <f>(Datenabzug!G198/Datenabzug!G197-1)</f>
        <v>-7.4154799446168873E-5</v>
      </c>
      <c r="H198">
        <f>(Datenabzug!H198/Datenabzug!H197-1)</f>
        <v>1.0520873991034296E-2</v>
      </c>
      <c r="I198">
        <f>(Datenabzug!I198/Datenabzug!I197-1)</f>
        <v>1.7788605231675136E-2</v>
      </c>
      <c r="J198">
        <f>(Datenabzug!J198/Datenabzug!J197-1)</f>
        <v>-8.7825107197192942E-2</v>
      </c>
      <c r="K198">
        <f>(Datenabzug!K198/Datenabzug!K197-1)</f>
        <v>-7.2348103184893819E-4</v>
      </c>
    </row>
    <row r="199" spans="1:11">
      <c r="A199" s="1">
        <v>45579</v>
      </c>
      <c r="B199">
        <f>(Datenabzug!B199/Datenabzug!B198-1)</f>
        <v>-1.3441919758084508E-2</v>
      </c>
      <c r="C199">
        <f>(Datenabzug!C199/Datenabzug!C198-1)</f>
        <v>1.1067991073860695E-2</v>
      </c>
      <c r="D199">
        <f>(Datenabzug!D199/Datenabzug!D198-1)</f>
        <v>6.7737121954232205E-3</v>
      </c>
      <c r="E199">
        <f>(Datenabzug!E199/Datenabzug!E198-1)</f>
        <v>-1.3544706380769211E-2</v>
      </c>
      <c r="F199">
        <f>(Datenabzug!F199/Datenabzug!F198-1)</f>
        <v>-6.6951439146176739E-3</v>
      </c>
      <c r="G199">
        <f>(Datenabzug!G199/Datenabzug!G198-1)</f>
        <v>2.4258230009922555E-2</v>
      </c>
      <c r="H199">
        <f>(Datenabzug!H199/Datenabzug!H198-1)</f>
        <v>7.379426097908981E-3</v>
      </c>
      <c r="I199">
        <f>(Datenabzug!I199/Datenabzug!I198-1)</f>
        <v>-8.2678181535543738E-3</v>
      </c>
      <c r="J199">
        <f>(Datenabzug!J199/Datenabzug!J198-1)</f>
        <v>6.2442635045731887E-3</v>
      </c>
      <c r="K199">
        <f>(Datenabzug!K199/Datenabzug!K198-1)</f>
        <v>9.0335044858693703E-3</v>
      </c>
    </row>
    <row r="200" spans="1:11">
      <c r="A200" s="1">
        <v>45580</v>
      </c>
      <c r="B200">
        <f>(Datenabzug!B200/Datenabzug!B199-1)</f>
        <v>2.2551852382508786E-2</v>
      </c>
      <c r="C200">
        <f>(Datenabzug!C200/Datenabzug!C199-1)</f>
        <v>0</v>
      </c>
      <c r="D200">
        <f>(Datenabzug!D200/Datenabzug!D199-1)</f>
        <v>-9.5441433842025081E-4</v>
      </c>
      <c r="E200">
        <f>(Datenabzug!E200/Datenabzug!E199-1)</f>
        <v>-9.8457496931977362E-3</v>
      </c>
      <c r="F200">
        <f>(Datenabzug!F200/Datenabzug!F199-1)</f>
        <v>6.3726993733792536E-3</v>
      </c>
      <c r="G200">
        <f>(Datenabzug!G200/Datenabzug!G199-1)</f>
        <v>-4.6860362043859349E-2</v>
      </c>
      <c r="H200">
        <f>(Datenabzug!H200/Datenabzug!H199-1)</f>
        <v>-1.1358239166364692E-3</v>
      </c>
      <c r="I200">
        <f>(Datenabzug!I200/Datenabzug!I199-1)</f>
        <v>2.9548288657508248E-3</v>
      </c>
      <c r="J200">
        <f>(Datenabzug!J200/Datenabzug!J199-1)</f>
        <v>1.8707960177859473E-3</v>
      </c>
      <c r="K200">
        <f>(Datenabzug!K200/Datenabzug!K199-1)</f>
        <v>-5.1596031346355931E-3</v>
      </c>
    </row>
    <row r="201" spans="1:11">
      <c r="A201" s="1">
        <v>45581</v>
      </c>
      <c r="B201">
        <f>(Datenabzug!B201/Datenabzug!B200-1)</f>
        <v>1.6737694065049213E-2</v>
      </c>
      <c r="C201">
        <f>(Datenabzug!C201/Datenabzug!C200-1)</f>
        <v>3.2698573064475767E-3</v>
      </c>
      <c r="D201">
        <f>(Datenabzug!D201/Datenabzug!D200-1)</f>
        <v>-6.2569022348485381E-3</v>
      </c>
      <c r="E201">
        <f>(Datenabzug!E201/Datenabzug!E200-1)</f>
        <v>-5.6375259622906126E-3</v>
      </c>
      <c r="F201">
        <f>(Datenabzug!F201/Datenabzug!F200-1)</f>
        <v>2.2162547011233658E-2</v>
      </c>
      <c r="G201">
        <f>(Datenabzug!G201/Datenabzug!G200-1)</f>
        <v>3.1306856717133291E-2</v>
      </c>
      <c r="H201">
        <f>(Datenabzug!H201/Datenabzug!H200-1)</f>
        <v>-8.0727703939550421E-3</v>
      </c>
      <c r="I201">
        <f>(Datenabzug!I201/Datenabzug!I200-1)</f>
        <v>4.4191035799114875E-3</v>
      </c>
      <c r="J201">
        <f>(Datenabzug!J201/Datenabzug!J200-1)</f>
        <v>8.0156417002672509E-3</v>
      </c>
      <c r="K201">
        <f>(Datenabzug!K201/Datenabzug!K200-1)</f>
        <v>5.4933832009229633E-4</v>
      </c>
    </row>
    <row r="202" spans="1:11">
      <c r="A202" s="1">
        <v>45582</v>
      </c>
      <c r="B202">
        <f>(Datenabzug!B202/Datenabzug!B201-1)</f>
        <v>2.6468926937659454E-3</v>
      </c>
      <c r="C202">
        <f>(Datenabzug!C202/Datenabzug!C201-1)</f>
        <v>-9.4940188686816196E-3</v>
      </c>
      <c r="D202">
        <f>(Datenabzug!D202/Datenabzug!D201-1)</f>
        <v>1.4419379315335767E-3</v>
      </c>
      <c r="E202">
        <f>(Datenabzug!E202/Datenabzug!E201-1)</f>
        <v>-2.0441560663729264E-2</v>
      </c>
      <c r="F202">
        <f>(Datenabzug!F202/Datenabzug!F201-1)</f>
        <v>-6.43304808967049E-3</v>
      </c>
      <c r="G202">
        <f>(Datenabzug!G202/Datenabzug!G201-1)</f>
        <v>8.9154935897077792E-3</v>
      </c>
      <c r="H202">
        <f>(Datenabzug!H202/Datenabzug!H201-1)</f>
        <v>1.0889794042947543E-3</v>
      </c>
      <c r="I202">
        <f>(Datenabzug!I202/Datenabzug!I201-1)</f>
        <v>-1.9903713090805297E-3</v>
      </c>
      <c r="J202">
        <f>(Datenabzug!J202/Datenabzug!J201-1)</f>
        <v>-1.9879927608813519E-3</v>
      </c>
      <c r="K202">
        <f>(Datenabzug!K202/Datenabzug!K201-1)</f>
        <v>-5.4903671318651259E-4</v>
      </c>
    </row>
    <row r="203" spans="1:11">
      <c r="A203" s="1">
        <v>45583</v>
      </c>
      <c r="B203">
        <f>(Datenabzug!B203/Datenabzug!B202-1)</f>
        <v>-1.995992295834359E-3</v>
      </c>
      <c r="C203">
        <f>(Datenabzug!C203/Datenabzug!C202-1)</f>
        <v>7.7251860837310726E-3</v>
      </c>
      <c r="D203">
        <f>(Datenabzug!D203/Datenabzug!D202-1)</f>
        <v>3.4556092474378186E-3</v>
      </c>
      <c r="E203">
        <f>(Datenabzug!E203/Datenabzug!E202-1)</f>
        <v>0.11087033742104224</v>
      </c>
      <c r="F203">
        <f>(Datenabzug!F203/Datenabzug!F202-1)</f>
        <v>-5.7555164164323491E-3</v>
      </c>
      <c r="G203">
        <f>(Datenabzug!G203/Datenabzug!G202-1)</f>
        <v>7.8141701678255959E-3</v>
      </c>
      <c r="H203">
        <f>(Datenabzug!H203/Datenabzug!H202-1)</f>
        <v>2.2327379515223456E-3</v>
      </c>
      <c r="I203">
        <f>(Datenabzug!I203/Datenabzug!I202-1)</f>
        <v>1.6479561413091481E-2</v>
      </c>
      <c r="J203">
        <f>(Datenabzug!J203/Datenabzug!J202-1)</f>
        <v>-8.6016769401520143E-4</v>
      </c>
      <c r="K203">
        <f>(Datenabzug!K203/Datenabzug!K202-1)</f>
        <v>-3.8126997377643246E-3</v>
      </c>
    </row>
    <row r="204" spans="1:11">
      <c r="A204" s="1">
        <v>45586</v>
      </c>
      <c r="B204">
        <f>(Datenabzug!B204/Datenabzug!B203-1)</f>
        <v>3.109682144656789E-2</v>
      </c>
      <c r="C204">
        <f>(Datenabzug!C204/Datenabzug!C203-1)</f>
        <v>-1.4054453839570158E-2</v>
      </c>
      <c r="D204">
        <f>(Datenabzug!D204/Datenabzug!D203-1)</f>
        <v>1.482691786635959E-3</v>
      </c>
      <c r="E204">
        <f>(Datenabzug!E204/Datenabzug!E203-1)</f>
        <v>1.0708338267185757E-2</v>
      </c>
      <c r="F204">
        <f>(Datenabzug!F204/Datenabzug!F203-1)</f>
        <v>-1.7366034616797088E-2</v>
      </c>
      <c r="G204">
        <f>(Datenabzug!G204/Datenabzug!G203-1)</f>
        <v>4.137688103752879E-2</v>
      </c>
      <c r="H204">
        <f>(Datenabzug!H204/Datenabzug!H203-1)</f>
        <v>-2.8555328975732319E-4</v>
      </c>
      <c r="I204">
        <f>(Datenabzug!I204/Datenabzug!I203-1)</f>
        <v>-4.0273128816861181E-3</v>
      </c>
      <c r="J204">
        <f>(Datenabzug!J204/Datenabzug!J203-1)</f>
        <v>-8.3823782071045239E-3</v>
      </c>
      <c r="K204">
        <f>(Datenabzug!K204/Datenabzug!K203-1)</f>
        <v>1.6204675806206215E-3</v>
      </c>
    </row>
    <row r="205" spans="1:11">
      <c r="A205" s="1">
        <v>45587</v>
      </c>
      <c r="B205">
        <f>(Datenabzug!B205/Datenabzug!B204-1)</f>
        <v>3.7540705696659238E-4</v>
      </c>
      <c r="C205">
        <f>(Datenabzug!C205/Datenabzug!C204-1)</f>
        <v>0</v>
      </c>
      <c r="D205">
        <f>(Datenabzug!D205/Datenabzug!D204-1)</f>
        <v>2.0846211081530397E-2</v>
      </c>
      <c r="E205">
        <f>(Datenabzug!E205/Datenabzug!E204-1)</f>
        <v>-1.01415895133391E-2</v>
      </c>
      <c r="F205">
        <f>(Datenabzug!F205/Datenabzug!F204-1)</f>
        <v>-7.3641629020648747E-4</v>
      </c>
      <c r="G205">
        <f>(Datenabzug!G205/Datenabzug!G204-1)</f>
        <v>-8.3496088045531547E-4</v>
      </c>
      <c r="H205">
        <f>(Datenabzug!H205/Datenabzug!H204-1)</f>
        <v>-3.6569332591993575E-3</v>
      </c>
      <c r="I205">
        <f>(Datenabzug!I205/Datenabzug!I204-1)</f>
        <v>3.8362481937501691E-3</v>
      </c>
      <c r="J205">
        <f>(Datenabzug!J205/Datenabzug!J204-1)</f>
        <v>-4.0210411618437636E-3</v>
      </c>
      <c r="K205">
        <f>(Datenabzug!K205/Datenabzug!K204-1)</f>
        <v>4.2684473532001999E-3</v>
      </c>
    </row>
    <row r="206" spans="1:11">
      <c r="A206" s="1">
        <v>45588</v>
      </c>
      <c r="B206">
        <f>(Datenabzug!B206/Datenabzug!B205-1)</f>
        <v>-1.7638273943548888E-2</v>
      </c>
      <c r="C206">
        <f>(Datenabzug!C206/Datenabzug!C205-1)</f>
        <v>-2.0734240306382823E-2</v>
      </c>
      <c r="D206">
        <f>(Datenabzug!D206/Datenabzug!D205-1)</f>
        <v>-6.8067923313354095E-3</v>
      </c>
      <c r="E206">
        <f>(Datenabzug!E206/Datenabzug!E205-1)</f>
        <v>-1.9561933944921117E-2</v>
      </c>
      <c r="F206">
        <f>(Datenabzug!F206/Datenabzug!F205-1)</f>
        <v>-1.6826277590938465E-2</v>
      </c>
      <c r="G206">
        <f>(Datenabzug!G206/Datenabzug!G205-1)</f>
        <v>-2.8066097599654172E-2</v>
      </c>
      <c r="H206">
        <f>(Datenabzug!H206/Datenabzug!H205-1)</f>
        <v>-8.1436040880182858E-3</v>
      </c>
      <c r="I206">
        <f>(Datenabzug!I206/Datenabzug!I205-1)</f>
        <v>8.5725618774232792E-3</v>
      </c>
      <c r="J206">
        <f>(Datenabzug!J206/Datenabzug!J205-1)</f>
        <v>-1.9819274670943465E-2</v>
      </c>
      <c r="K206">
        <f>(Datenabzug!K206/Datenabzug!K205-1)</f>
        <v>6.1710400444781044E-4</v>
      </c>
    </row>
    <row r="207" spans="1:11">
      <c r="A207" s="1">
        <v>45589</v>
      </c>
      <c r="B207">
        <f>(Datenabzug!B207/Datenabzug!B206-1)</f>
        <v>-1.1842611990727447E-2</v>
      </c>
      <c r="C207">
        <f>(Datenabzug!C207/Datenabzug!C206-1)</f>
        <v>-1.0439669758878556E-2</v>
      </c>
      <c r="D207">
        <f>(Datenabzug!D207/Datenabzug!D206-1)</f>
        <v>3.0616702810437602E-4</v>
      </c>
      <c r="E207">
        <f>(Datenabzug!E207/Datenabzug!E206-1)</f>
        <v>7.0199921524014552E-3</v>
      </c>
      <c r="F207">
        <f>(Datenabzug!F207/Datenabzug!F206-1)</f>
        <v>-1.2617205350509808E-2</v>
      </c>
      <c r="G207">
        <f>(Datenabzug!G207/Datenabzug!G206-1)</f>
        <v>6.0905952670176067E-3</v>
      </c>
      <c r="H207">
        <f>(Datenabzug!H207/Datenabzug!H206-1)</f>
        <v>-4.5677834507290571E-3</v>
      </c>
      <c r="I207">
        <f>(Datenabzug!I207/Datenabzug!I206-1)</f>
        <v>-5.1203544776290411E-3</v>
      </c>
      <c r="J207">
        <f>(Datenabzug!J207/Datenabzug!J206-1)</f>
        <v>0.21919035070290582</v>
      </c>
      <c r="K207">
        <f>(Datenabzug!K207/Datenabzug!K206-1)</f>
        <v>-4.7616024981889105E-3</v>
      </c>
    </row>
    <row r="208" spans="1:11">
      <c r="A208" s="1">
        <v>45590</v>
      </c>
      <c r="B208">
        <f>(Datenabzug!B208/Datenabzug!B207-1)</f>
        <v>-1.2242425589116257E-3</v>
      </c>
      <c r="C208">
        <f>(Datenabzug!C208/Datenabzug!C207-1)</f>
        <v>-5.6464877976768468E-3</v>
      </c>
      <c r="D208">
        <f>(Datenabzug!D208/Datenabzug!D207-1)</f>
        <v>8.0521494007834704E-3</v>
      </c>
      <c r="E208">
        <f>(Datenabzug!E208/Datenabzug!E207-1)</f>
        <v>1.722945926927455E-4</v>
      </c>
      <c r="F208">
        <f>(Datenabzug!F208/Datenabzug!F207-1)</f>
        <v>-2.4037781986772089E-3</v>
      </c>
      <c r="G208">
        <f>(Datenabzug!G208/Datenabzug!G207-1)</f>
        <v>8.0477915204857364E-3</v>
      </c>
      <c r="H208">
        <f>(Datenabzug!H208/Datenabzug!H207-1)</f>
        <v>-2.1492358247273691E-3</v>
      </c>
      <c r="I208">
        <f>(Datenabzug!I208/Datenabzug!I207-1)</f>
        <v>1.6469239804364211E-3</v>
      </c>
      <c r="J208">
        <f>(Datenabzug!J208/Datenabzug!J207-1)</f>
        <v>3.3438233598412914E-2</v>
      </c>
      <c r="K208">
        <f>(Datenabzug!K208/Datenabzug!K207-1)</f>
        <v>-2.7535183639793015E-4</v>
      </c>
    </row>
    <row r="209" spans="1:11">
      <c r="A209" s="1">
        <v>45593</v>
      </c>
      <c r="B209">
        <f>(Datenabzug!B209/Datenabzug!B208-1)</f>
        <v>-2.786911953111848E-2</v>
      </c>
      <c r="C209">
        <f>(Datenabzug!C209/Datenabzug!C208-1)</f>
        <v>-3.7357819147130211E-3</v>
      </c>
      <c r="D209">
        <f>(Datenabzug!D209/Datenabzug!D208-1)</f>
        <v>-3.6435414821726075E-3</v>
      </c>
      <c r="E209">
        <f>(Datenabzug!E209/Datenabzug!E208-1)</f>
        <v>-7.3673578371682424E-3</v>
      </c>
      <c r="F209">
        <f>(Datenabzug!F209/Datenabzug!F208-1)</f>
        <v>7.6088067731983067E-4</v>
      </c>
      <c r="G209">
        <f>(Datenabzug!G209/Datenabzug!G208-1)</f>
        <v>-7.2063006553180209E-3</v>
      </c>
      <c r="H209">
        <f>(Datenabzug!H209/Datenabzug!H208-1)</f>
        <v>-1.1351028373464911E-2</v>
      </c>
      <c r="I209">
        <f>(Datenabzug!I209/Datenabzug!I208-1)</f>
        <v>7.2962937284797302E-3</v>
      </c>
      <c r="J209">
        <f>(Datenabzug!J209/Datenabzug!J208-1)</f>
        <v>-2.4815158866217657E-2</v>
      </c>
      <c r="K209">
        <f>(Datenabzug!K209/Datenabzug!K208-1)</f>
        <v>5.7495394878939177E-3</v>
      </c>
    </row>
    <row r="210" spans="1:11">
      <c r="A210" s="1">
        <v>45594</v>
      </c>
      <c r="B210">
        <f>(Datenabzug!B210/Datenabzug!B209-1)</f>
        <v>1.5196716763100859E-2</v>
      </c>
      <c r="C210">
        <f>(Datenabzug!C210/Datenabzug!C209-1)</f>
        <v>-1.6649279555963292E-2</v>
      </c>
      <c r="D210">
        <f>(Datenabzug!D210/Datenabzug!D209-1)</f>
        <v>1.2564736304168989E-2</v>
      </c>
      <c r="E210">
        <f>(Datenabzug!E210/Datenabzug!E209-1)</f>
        <v>1.3776173899355815E-2</v>
      </c>
      <c r="F210">
        <f>(Datenabzug!F210/Datenabzug!F209-1)</f>
        <v>-6.4630109500029009E-3</v>
      </c>
      <c r="G210">
        <f>(Datenabzug!G210/Datenabzug!G209-1)</f>
        <v>5.194852307465192E-3</v>
      </c>
      <c r="H210">
        <f>(Datenabzug!H210/Datenabzug!H209-1)</f>
        <v>-1.3777679698679157E-2</v>
      </c>
      <c r="I210">
        <f>(Datenabzug!I210/Datenabzug!I209-1)</f>
        <v>-6.4271713460106739E-3</v>
      </c>
      <c r="J210">
        <f>(Datenabzug!J210/Datenabzug!J209-1)</f>
        <v>-1.1390120912431301E-2</v>
      </c>
      <c r="K210">
        <f>(Datenabzug!K210/Datenabzug!K209-1)</f>
        <v>2.0546888631822746E-4</v>
      </c>
    </row>
    <row r="211" spans="1:11">
      <c r="A211" s="1">
        <v>45595</v>
      </c>
      <c r="B211">
        <f>(Datenabzug!B211/Datenabzug!B210-1)</f>
        <v>8.5631951573990062E-3</v>
      </c>
      <c r="C211">
        <f>(Datenabzug!C211/Datenabzug!C210-1)</f>
        <v>5.4912164329172786E-3</v>
      </c>
      <c r="D211">
        <f>(Datenabzug!D211/Datenabzug!D210-1)</f>
        <v>1.3427600608939549E-3</v>
      </c>
      <c r="E211">
        <f>(Datenabzug!E211/Datenabzug!E210-1)</f>
        <v>-7.5055464404125694E-3</v>
      </c>
      <c r="F211">
        <f>(Datenabzug!F211/Datenabzug!F210-1)</f>
        <v>-2.4872588140328999E-2</v>
      </c>
      <c r="G211">
        <f>(Datenabzug!G211/Datenabzug!G210-1)</f>
        <v>-1.3522131367537549E-2</v>
      </c>
      <c r="H211">
        <f>(Datenabzug!H211/Datenabzug!H210-1)</f>
        <v>-7.7014782554188921E-3</v>
      </c>
      <c r="I211">
        <f>(Datenabzug!I211/Datenabzug!I210-1)</f>
        <v>-7.1891816224467497E-4</v>
      </c>
      <c r="J211">
        <f>(Datenabzug!J211/Datenabzug!J210-1)</f>
        <v>-7.5909421397178933E-3</v>
      </c>
      <c r="K211">
        <f>(Datenabzug!K211/Datenabzug!K210-1)</f>
        <v>4.6547578188023131E-3</v>
      </c>
    </row>
    <row r="212" spans="1:11">
      <c r="A212" s="1">
        <v>45596</v>
      </c>
      <c r="B212">
        <f>(Datenabzug!B212/Datenabzug!B211-1)</f>
        <v>-3.2276854911151176E-2</v>
      </c>
      <c r="C212">
        <f>(Datenabzug!C212/Datenabzug!C211-1)</f>
        <v>-9.253562812163274E-3</v>
      </c>
      <c r="D212">
        <f>(Datenabzug!D212/Datenabzug!D211-1)</f>
        <v>-6.0527624794218249E-2</v>
      </c>
      <c r="E212">
        <f>(Datenabzug!E212/Datenabzug!E211-1)</f>
        <v>3.0382347920638875E-3</v>
      </c>
      <c r="F212">
        <f>(Datenabzug!F212/Datenabzug!F211-1)</f>
        <v>8.8946707073096487E-3</v>
      </c>
      <c r="G212">
        <f>(Datenabzug!G212/Datenabzug!G211-1)</f>
        <v>-4.7222559644188755E-2</v>
      </c>
      <c r="H212">
        <f>(Datenabzug!H212/Datenabzug!H211-1)</f>
        <v>-7.8206474914055413E-4</v>
      </c>
      <c r="I212">
        <f>(Datenabzug!I212/Datenabzug!I211-1)</f>
        <v>3.9046620338902827E-3</v>
      </c>
      <c r="J212">
        <f>(Datenabzug!J212/Datenabzug!J211-1)</f>
        <v>-2.9897037679701421E-2</v>
      </c>
      <c r="K212">
        <f>(Datenabzug!K212/Datenabzug!K211-1)</f>
        <v>2.9467768622079893E-2</v>
      </c>
    </row>
    <row r="213" spans="1:11">
      <c r="A213" s="1">
        <v>45597</v>
      </c>
      <c r="B213">
        <f>(Datenabzug!B213/Datenabzug!B212-1)</f>
        <v>3.5362660676656832E-2</v>
      </c>
      <c r="C213">
        <f>(Datenabzug!C213/Datenabzug!C212-1)</f>
        <v>-4.5933902373724855E-3</v>
      </c>
      <c r="D213">
        <f>(Datenabzug!D213/Datenabzug!D212-1)</f>
        <v>9.8929707489561203E-3</v>
      </c>
      <c r="E213">
        <f>(Datenabzug!E213/Datenabzug!E212-1)</f>
        <v>9.2517871449038225E-5</v>
      </c>
      <c r="F213">
        <f>(Datenabzug!F213/Datenabzug!F212-1)</f>
        <v>1.2057707444280474E-2</v>
      </c>
      <c r="G213">
        <f>(Datenabzug!G213/Datenabzug!G212-1)</f>
        <v>1.9885484441326096E-2</v>
      </c>
      <c r="H213">
        <f>(Datenabzug!H213/Datenabzug!H212-1)</f>
        <v>-2.9504894990741715E-3</v>
      </c>
      <c r="I213">
        <f>(Datenabzug!I213/Datenabzug!I212-1)</f>
        <v>1.1975509593614264E-2</v>
      </c>
      <c r="J213">
        <f>(Datenabzug!J213/Datenabzug!J212-1)</f>
        <v>-3.4821306973094046E-3</v>
      </c>
      <c r="K213">
        <f>(Datenabzug!K213/Datenabzug!K212-1)</f>
        <v>-9.5635959984687879E-3</v>
      </c>
    </row>
    <row r="214" spans="1:11">
      <c r="A214" s="1">
        <v>45600</v>
      </c>
      <c r="B214">
        <f>(Datenabzug!B214/Datenabzug!B213-1)</f>
        <v>3.1050585270655517E-3</v>
      </c>
      <c r="C214">
        <f>(Datenabzug!C214/Datenabzug!C213-1)</f>
        <v>1.5380956394137613E-3</v>
      </c>
      <c r="D214">
        <f>(Datenabzug!D214/Datenabzug!D213-1)</f>
        <v>-4.6543639402477632E-3</v>
      </c>
      <c r="E214">
        <f>(Datenabzug!E214/Datenabzug!E213-1)</f>
        <v>-7.8027488343035412E-4</v>
      </c>
      <c r="F214">
        <f>(Datenabzug!F214/Datenabzug!F213-1)</f>
        <v>-1.1145271377324795E-2</v>
      </c>
      <c r="G214">
        <f>(Datenabzug!G214/Datenabzug!G213-1)</f>
        <v>4.8006370039186397E-3</v>
      </c>
      <c r="H214">
        <f>(Datenabzug!H214/Datenabzug!H213-1)</f>
        <v>4.5293013647926816E-3</v>
      </c>
      <c r="I214">
        <f>(Datenabzug!I214/Datenabzug!I213-1)</f>
        <v>-1.8610258365532539E-2</v>
      </c>
      <c r="J214">
        <f>(Datenabzug!J214/Datenabzug!J213-1)</f>
        <v>-2.4660613282233568E-2</v>
      </c>
      <c r="K214">
        <f>(Datenabzug!K214/Datenabzug!K213-1)</f>
        <v>1.1760889878538627E-2</v>
      </c>
    </row>
    <row r="215" spans="1:11">
      <c r="A215" s="1">
        <v>45601</v>
      </c>
      <c r="B215">
        <f>(Datenabzug!B215/Datenabzug!B214-1)</f>
        <v>-2.6246257380439175E-2</v>
      </c>
      <c r="C215">
        <f>(Datenabzug!C215/Datenabzug!C214-1)</f>
        <v>3.9934342330580908E-3</v>
      </c>
      <c r="D215">
        <f>(Datenabzug!D215/Datenabzug!D214-1)</f>
        <v>7.3446695796732797E-3</v>
      </c>
      <c r="E215">
        <f>(Datenabzug!E215/Datenabzug!E214-1)</f>
        <v>1.1118268812231769E-2</v>
      </c>
      <c r="F215">
        <f>(Datenabzug!F215/Datenabzug!F214-1)</f>
        <v>1.02345300052471E-2</v>
      </c>
      <c r="G215">
        <f>(Datenabzug!G215/Datenabzug!G214-1)</f>
        <v>2.837184152782446E-2</v>
      </c>
      <c r="H215">
        <f>(Datenabzug!H215/Datenabzug!H214-1)</f>
        <v>9.077863135047215E-3</v>
      </c>
      <c r="I215">
        <f>(Datenabzug!I215/Datenabzug!I214-1)</f>
        <v>6.1825010547833514E-4</v>
      </c>
      <c r="J215">
        <f>(Datenabzug!J215/Datenabzug!J214-1)</f>
        <v>3.5414290204278664E-2</v>
      </c>
      <c r="K215">
        <f>(Datenabzug!K215/Datenabzug!K214-1)</f>
        <v>1.6841744261144598E-2</v>
      </c>
    </row>
    <row r="216" spans="1:11">
      <c r="A216" s="1">
        <v>45602</v>
      </c>
      <c r="B216">
        <f>(Datenabzug!B216/Datenabzug!B215-1)</f>
        <v>-2.5430439323781417E-2</v>
      </c>
      <c r="C216">
        <f>(Datenabzug!C216/Datenabzug!C215-1)</f>
        <v>-2.5546981746446429E-2</v>
      </c>
      <c r="D216">
        <f>(Datenabzug!D216/Datenabzug!D215-1)</f>
        <v>2.1192825888916911E-2</v>
      </c>
      <c r="E216">
        <f>(Datenabzug!E216/Datenabzug!E215-1)</f>
        <v>2.1337656793546156E-2</v>
      </c>
      <c r="F216">
        <f>(Datenabzug!F216/Datenabzug!F215-1)</f>
        <v>-3.4111438306268838E-2</v>
      </c>
      <c r="G216">
        <f>(Datenabzug!G216/Datenabzug!G215-1)</f>
        <v>4.0740457923668982E-2</v>
      </c>
      <c r="H216">
        <f>(Datenabzug!H216/Datenabzug!H215-1)</f>
        <v>-1.8707159854010391E-2</v>
      </c>
      <c r="I216">
        <f>(Datenabzug!I216/Datenabzug!I215-1)</f>
        <v>-1.0402647786598274E-2</v>
      </c>
      <c r="J216">
        <f>(Datenabzug!J216/Datenabzug!J215-1)</f>
        <v>0.14751032444224244</v>
      </c>
      <c r="K216">
        <f>(Datenabzug!K216/Datenabzug!K215-1)</f>
        <v>3.0494896691808382E-2</v>
      </c>
    </row>
    <row r="217" spans="1:11">
      <c r="A217" s="1">
        <v>45603</v>
      </c>
      <c r="B217">
        <f>(Datenabzug!B217/Datenabzug!B216-1)</f>
        <v>2.5958086235177147E-2</v>
      </c>
      <c r="C217">
        <f>(Datenabzug!C217/Datenabzug!C216-1)</f>
        <v>-6.2796420469379832E-4</v>
      </c>
      <c r="D217">
        <f>(Datenabzug!D217/Datenabzug!D216-1)</f>
        <v>1.2494587541633573E-2</v>
      </c>
      <c r="E217">
        <f>(Datenabzug!E217/Datenabzug!E216-1)</f>
        <v>2.093020545083335E-2</v>
      </c>
      <c r="F217">
        <f>(Datenabzug!F217/Datenabzug!F216-1)</f>
        <v>7.9661285286947159E-3</v>
      </c>
      <c r="G217">
        <f>(Datenabzug!G217/Datenabzug!G216-1)</f>
        <v>2.2457315911883713E-2</v>
      </c>
      <c r="H217">
        <f>(Datenabzug!H217/Datenabzug!H216-1)</f>
        <v>-4.3107021628575604E-3</v>
      </c>
      <c r="I217">
        <f>(Datenabzug!I217/Datenabzug!I216-1)</f>
        <v>4.1629602352344364E-4</v>
      </c>
      <c r="J217">
        <f>(Datenabzug!J217/Datenabzug!J216-1)</f>
        <v>2.9043790657009128E-2</v>
      </c>
      <c r="K217">
        <f>(Datenabzug!K217/Datenabzug!K216-1)</f>
        <v>-4.4435520090950753E-3</v>
      </c>
    </row>
    <row r="218" spans="1:11">
      <c r="A218" s="1">
        <v>45604</v>
      </c>
      <c r="B218">
        <f>(Datenabzug!B218/Datenabzug!B217-1)</f>
        <v>4.6363555971031811E-3</v>
      </c>
      <c r="C218">
        <f>(Datenabzug!C218/Datenabzug!C217-1)</f>
        <v>4.0842096339208656E-3</v>
      </c>
      <c r="D218">
        <f>(Datenabzug!D218/Datenabzug!D217-1)</f>
        <v>-6.7930279882383315E-3</v>
      </c>
      <c r="E218">
        <f>(Datenabzug!E218/Datenabzug!E217-1)</f>
        <v>-1.8831446523435158E-3</v>
      </c>
      <c r="F218">
        <f>(Datenabzug!F218/Datenabzug!F217-1)</f>
        <v>-5.2689849519138576E-4</v>
      </c>
      <c r="G218">
        <f>(Datenabzug!G218/Datenabzug!G217-1)</f>
        <v>-8.3961121311846298E-3</v>
      </c>
      <c r="H218">
        <f>(Datenabzug!H218/Datenabzug!H217-1)</f>
        <v>6.7683289329567575E-3</v>
      </c>
      <c r="I218">
        <f>(Datenabzug!I218/Datenabzug!I217-1)</f>
        <v>1.487731978753648E-2</v>
      </c>
      <c r="J218">
        <f>(Datenabzug!J218/Datenabzug!J217-1)</f>
        <v>8.1876653729253901E-2</v>
      </c>
      <c r="K218">
        <f>(Datenabzug!K218/Datenabzug!K217-1)</f>
        <v>1.2660938811461797E-3</v>
      </c>
    </row>
    <row r="219" spans="1:11">
      <c r="A219" s="1">
        <v>45607</v>
      </c>
      <c r="B219">
        <f>(Datenabzug!B219/Datenabzug!B218-1)</f>
        <v>-1.7932397766711627E-2</v>
      </c>
      <c r="C219">
        <f>(Datenabzug!C219/Datenabzug!C218-1)</f>
        <v>-8.7609353074897811E-3</v>
      </c>
      <c r="D219">
        <f>(Datenabzug!D219/Datenabzug!D218-1)</f>
        <v>-1.0720868043422871E-2</v>
      </c>
      <c r="E219">
        <f>(Datenabzug!E219/Datenabzug!E218-1)</f>
        <v>1.3081133907086873E-2</v>
      </c>
      <c r="F219">
        <f>(Datenabzug!F219/Datenabzug!F218-1)</f>
        <v>9.4886615182800949E-3</v>
      </c>
      <c r="G219">
        <f>(Datenabzug!G219/Datenabzug!G218-1)</f>
        <v>-1.6053591645322385E-2</v>
      </c>
      <c r="H219">
        <f>(Datenabzug!H219/Datenabzug!H218-1)</f>
        <v>-5.1481815629936811E-3</v>
      </c>
      <c r="I219">
        <f>(Datenabzug!I219/Datenabzug!I218-1)</f>
        <v>2.8293163559797607E-2</v>
      </c>
      <c r="J219">
        <f>(Datenabzug!J219/Datenabzug!J218-1)</f>
        <v>8.9595911431190389E-2</v>
      </c>
      <c r="K219">
        <f>(Datenabzug!K219/Datenabzug!K218-1)</f>
        <v>-3.5407553248082424E-3</v>
      </c>
    </row>
    <row r="220" spans="1:11">
      <c r="A220" s="1">
        <v>45608</v>
      </c>
      <c r="B220">
        <f>(Datenabzug!B220/Datenabzug!B219-1)</f>
        <v>-2.5443128182735086E-2</v>
      </c>
      <c r="C220">
        <f>(Datenabzug!C220/Datenabzug!C219-1)</f>
        <v>-2.5252742837706954E-3</v>
      </c>
      <c r="D220">
        <f>(Datenabzug!D220/Datenabzug!D219-1)</f>
        <v>1.2009207178779402E-2</v>
      </c>
      <c r="E220">
        <f>(Datenabzug!E220/Datenabzug!E219-1)</f>
        <v>1.7456294095123281E-2</v>
      </c>
      <c r="F220">
        <f>(Datenabzug!F220/Datenabzug!F219-1)</f>
        <v>7.8343291084648214E-4</v>
      </c>
      <c r="G220">
        <f>(Datenabzug!G220/Datenabzug!G219-1)</f>
        <v>2.0859007349252723E-2</v>
      </c>
      <c r="H220">
        <f>(Datenabzug!H220/Datenabzug!H219-1)</f>
        <v>4.8711630871944855E-4</v>
      </c>
      <c r="I220">
        <f>(Datenabzug!I220/Datenabzug!I219-1)</f>
        <v>-1.5053290361863425E-2</v>
      </c>
      <c r="J220">
        <f>(Datenabzug!J220/Datenabzug!J219-1)</f>
        <v>-6.1457170758928537E-2</v>
      </c>
      <c r="K220">
        <f>(Datenabzug!K220/Datenabzug!K219-1)</f>
        <v>7.0751296599278479E-3</v>
      </c>
    </row>
    <row r="221" spans="1:11">
      <c r="A221" s="1">
        <v>45609</v>
      </c>
      <c r="B221">
        <f>(Datenabzug!B221/Datenabzug!B220-1)</f>
        <v>-3.5820052447685269E-2</v>
      </c>
      <c r="C221">
        <f>(Datenabzug!C221/Datenabzug!C220-1)</f>
        <v>-3.1645997233923362E-3</v>
      </c>
      <c r="D221">
        <f>(Datenabzug!D221/Datenabzug!D220-1)</f>
        <v>5.1296798269415689E-3</v>
      </c>
      <c r="E221">
        <f>(Datenabzug!E221/Datenabzug!E220-1)</f>
        <v>1.3386175354636931E-2</v>
      </c>
      <c r="F221">
        <f>(Datenabzug!F221/Datenabzug!F220-1)</f>
        <v>-1.8264441832912537E-3</v>
      </c>
      <c r="G221">
        <f>(Datenabzug!G221/Datenabzug!G220-1)</f>
        <v>-1.3621831983099852E-2</v>
      </c>
      <c r="H221">
        <f>(Datenabzug!H221/Datenabzug!H220-1)</f>
        <v>2.434109197881007E-3</v>
      </c>
      <c r="I221">
        <f>(Datenabzug!I221/Datenabzug!I220-1)</f>
        <v>1.0121430894999506E-2</v>
      </c>
      <c r="J221">
        <f>(Datenabzug!J221/Datenabzug!J220-1)</f>
        <v>5.3274073853859516E-3</v>
      </c>
      <c r="K221">
        <f>(Datenabzug!K221/Datenabzug!K220-1)</f>
        <v>-1.6696860916440848E-3</v>
      </c>
    </row>
    <row r="222" spans="1:11">
      <c r="A222" s="1">
        <v>45610</v>
      </c>
      <c r="B222">
        <f>(Datenabzug!B222/Datenabzug!B221-1)</f>
        <v>-1.3074243159928778E-2</v>
      </c>
      <c r="C222">
        <f>(Datenabzug!C222/Datenabzug!C221-1)</f>
        <v>-7.1428146990533126E-3</v>
      </c>
      <c r="D222">
        <f>(Datenabzug!D222/Datenabzug!D221-1)</f>
        <v>3.9746272433351937E-3</v>
      </c>
      <c r="E222">
        <f>(Datenabzug!E222/Datenabzug!E221-1)</f>
        <v>8.1761403807907307E-3</v>
      </c>
      <c r="F222">
        <f>(Datenabzug!F222/Datenabzug!F221-1)</f>
        <v>-1.0977500433188458E-2</v>
      </c>
      <c r="G222">
        <f>(Datenabzug!G222/Datenabzug!G221-1)</f>
        <v>3.3498394103466111E-3</v>
      </c>
      <c r="H222">
        <f>(Datenabzug!H222/Datenabzug!H221-1)</f>
        <v>2.4885059037198509E-3</v>
      </c>
      <c r="I222">
        <f>(Datenabzug!I222/Datenabzug!I221-1)</f>
        <v>-5.7114477084970749E-3</v>
      </c>
      <c r="J222">
        <f>(Datenabzug!J222/Datenabzug!J221-1)</f>
        <v>-5.7715595089095295E-2</v>
      </c>
      <c r="K222">
        <f>(Datenabzug!K222/Datenabzug!K221-1)</f>
        <v>-6.5640268482453079E-3</v>
      </c>
    </row>
    <row r="223" spans="1:11">
      <c r="A223" s="1">
        <v>45611</v>
      </c>
      <c r="B223">
        <f>(Datenabzug!B223/Datenabzug!B222-1)</f>
        <v>1.4840039531023752E-2</v>
      </c>
      <c r="C223">
        <f>(Datenabzug!C223/Datenabzug!C222-1)</f>
        <v>-1.2949662533732087E-2</v>
      </c>
      <c r="D223">
        <f>(Datenabzug!D223/Datenabzug!D222-1)</f>
        <v>-2.7852606626585397E-2</v>
      </c>
      <c r="E223">
        <f>(Datenabzug!E223/Datenabzug!E222-1)</f>
        <v>-1.5885134412059188E-2</v>
      </c>
      <c r="F223">
        <f>(Datenabzug!F223/Datenabzug!F222-1)</f>
        <v>1.2949439092057702E-2</v>
      </c>
      <c r="G223">
        <f>(Datenabzug!G223/Datenabzug!G222-1)</f>
        <v>-3.2570089769521138E-2</v>
      </c>
      <c r="H223">
        <f>(Datenabzug!H223/Datenabzug!H222-1)</f>
        <v>-3.9539636382573295E-2</v>
      </c>
      <c r="I223">
        <f>(Datenabzug!I223/Datenabzug!I222-1)</f>
        <v>-2.0280939418249044E-3</v>
      </c>
      <c r="J223">
        <f>(Datenabzug!J223/Datenabzug!J222-1)</f>
        <v>3.0657525449786061E-2</v>
      </c>
      <c r="K223">
        <f>(Datenabzug!K223/Datenabzug!K222-1)</f>
        <v>-6.8298413152831916E-3</v>
      </c>
    </row>
    <row r="224" spans="1:11">
      <c r="A224" s="1">
        <v>45614</v>
      </c>
      <c r="B224">
        <f>(Datenabzug!B224/Datenabzug!B223-1)</f>
        <v>2.6250036462615034E-2</v>
      </c>
      <c r="C224">
        <f>(Datenabzug!C224/Datenabzug!C223-1)</f>
        <v>1.9436988005829825E-3</v>
      </c>
      <c r="D224">
        <f>(Datenabzug!D224/Datenabzug!D223-1)</f>
        <v>1.8313442794848367E-3</v>
      </c>
      <c r="E224">
        <f>(Datenabzug!E224/Datenabzug!E223-1)</f>
        <v>2.8023162780436595E-2</v>
      </c>
      <c r="F224">
        <f>(Datenabzug!F224/Datenabzug!F223-1)</f>
        <v>-2.3089181321468755E-2</v>
      </c>
      <c r="G224">
        <f>(Datenabzug!G224/Datenabzug!G223-1)</f>
        <v>-1.2889219403744656E-2</v>
      </c>
      <c r="H224">
        <f>(Datenabzug!H224/Datenabzug!H223-1)</f>
        <v>-1.8283596008726866E-3</v>
      </c>
      <c r="I224">
        <f>(Datenabzug!I224/Datenabzug!I223-1)</f>
        <v>2.0117928461965251E-2</v>
      </c>
      <c r="J224">
        <f>(Datenabzug!J224/Datenabzug!J223-1)</f>
        <v>5.6186046847984228E-2</v>
      </c>
      <c r="K224">
        <f>(Datenabzug!K224/Datenabzug!K223-1)</f>
        <v>1.600791850484562E-4</v>
      </c>
    </row>
    <row r="225" spans="1:11">
      <c r="A225" s="1">
        <v>45615</v>
      </c>
      <c r="B225">
        <f>(Datenabzug!B225/Datenabzug!B224-1)</f>
        <v>1.2024821332056401E-2</v>
      </c>
      <c r="C225">
        <f>(Datenabzug!C225/Datenabzug!C224-1)</f>
        <v>1.1800756883391772E-2</v>
      </c>
      <c r="D225">
        <f>(Datenabzug!D225/Datenabzug!D224-1)</f>
        <v>4.8825575502546847E-3</v>
      </c>
      <c r="E225">
        <f>(Datenabzug!E225/Datenabzug!E224-1)</f>
        <v>2.8652405266526015E-2</v>
      </c>
      <c r="F225">
        <f>(Datenabzug!F225/Datenabzug!F224-1)</f>
        <v>-1.3085730002833196E-2</v>
      </c>
      <c r="G225">
        <f>(Datenabzug!G225/Datenabzug!G224-1)</f>
        <v>4.8947625080666635E-2</v>
      </c>
      <c r="H225">
        <f>(Datenabzug!H225/Datenabzug!H224-1)</f>
        <v>-1.0168570128278764E-2</v>
      </c>
      <c r="I225">
        <f>(Datenabzug!I225/Datenabzug!I224-1)</f>
        <v>-2.041833508462243E-2</v>
      </c>
      <c r="J225">
        <f>(Datenabzug!J225/Datenabzug!J224-1)</f>
        <v>2.1432396454288627E-2</v>
      </c>
      <c r="K225">
        <f>(Datenabzug!K225/Datenabzug!K224-1)</f>
        <v>-1.6341606672009013E-2</v>
      </c>
    </row>
    <row r="226" spans="1:11">
      <c r="A226" s="1">
        <v>45616</v>
      </c>
      <c r="B226">
        <f>(Datenabzug!B226/Datenabzug!B225-1)</f>
        <v>3.2966738146820163E-3</v>
      </c>
      <c r="C226">
        <f>(Datenabzug!C226/Datenabzug!C225-1)</f>
        <v>6.3908215698091908E-3</v>
      </c>
      <c r="D226">
        <f>(Datenabzug!D226/Datenabzug!D225-1)</f>
        <v>-5.5051748040680915E-3</v>
      </c>
      <c r="E226">
        <f>(Datenabzug!E226/Datenabzug!E225-1)</f>
        <v>1.4380443644577801E-2</v>
      </c>
      <c r="F226">
        <f>(Datenabzug!F226/Datenabzug!F225-1)</f>
        <v>-7.4415647902258408E-3</v>
      </c>
      <c r="G226">
        <f>(Datenabzug!G226/Datenabzug!G225-1)</f>
        <v>-7.618486605595054E-3</v>
      </c>
      <c r="H226">
        <f>(Datenabzug!H226/Datenabzug!H225-1)</f>
        <v>1.2889285918157745E-2</v>
      </c>
      <c r="I226">
        <f>(Datenabzug!I226/Datenabzug!I225-1)</f>
        <v>-9.150378338684817E-4</v>
      </c>
      <c r="J226">
        <f>(Datenabzug!J226/Datenabzug!J225-1)</f>
        <v>-1.1473991967352548E-2</v>
      </c>
      <c r="K226">
        <f>(Datenabzug!K226/Datenabzug!K225-1)</f>
        <v>3.3160937420406711E-3</v>
      </c>
    </row>
    <row r="227" spans="1:11">
      <c r="A227" s="1">
        <v>45617</v>
      </c>
      <c r="B227">
        <f>(Datenabzug!B227/Datenabzug!B226-1)</f>
        <v>-1.8277643315153691E-2</v>
      </c>
      <c r="C227">
        <f>(Datenabzug!C227/Datenabzug!C226-1)</f>
        <v>1.2224163902104346E-2</v>
      </c>
      <c r="D227">
        <f>(Datenabzug!D227/Datenabzug!D226-1)</f>
        <v>-4.3167841339755153E-3</v>
      </c>
      <c r="E227">
        <f>(Datenabzug!E227/Datenabzug!E226-1)</f>
        <v>1.5421174700805063E-2</v>
      </c>
      <c r="F227">
        <f>(Datenabzug!F227/Datenabzug!F226-1)</f>
        <v>2.3718751186466491E-2</v>
      </c>
      <c r="G227">
        <f>(Datenabzug!G227/Datenabzug!G226-1)</f>
        <v>5.3465664523333345E-3</v>
      </c>
      <c r="H227">
        <f>(Datenabzug!H227/Datenabzug!H226-1)</f>
        <v>1.0079322932736279E-2</v>
      </c>
      <c r="I227">
        <f>(Datenabzug!I227/Datenabzug!I226-1)</f>
        <v>1.8318697138630657E-2</v>
      </c>
      <c r="J227">
        <f>(Datenabzug!J227/Datenabzug!J226-1)</f>
        <v>-6.9876447662160501E-3</v>
      </c>
      <c r="K227">
        <f>(Datenabzug!K227/Datenabzug!K226-1)</f>
        <v>1.7983844561176854E-2</v>
      </c>
    </row>
    <row r="228" spans="1:11">
      <c r="A228" s="1">
        <v>45618</v>
      </c>
      <c r="B228">
        <f>(Datenabzug!B228/Datenabzug!B227-1)</f>
        <v>4.1001251473899547E-2</v>
      </c>
      <c r="C228">
        <f>(Datenabzug!C228/Datenabzug!C227-1)</f>
        <v>2.5094320051635144E-3</v>
      </c>
      <c r="D228">
        <f>(Datenabzug!D228/Datenabzug!D227-1)</f>
        <v>1.0003109717374281E-2</v>
      </c>
      <c r="E228">
        <f>(Datenabzug!E228/Datenabzug!E227-1)</f>
        <v>3.4540888414147375E-4</v>
      </c>
      <c r="F228">
        <f>(Datenabzug!F228/Datenabzug!F227-1)</f>
        <v>3.0625708557777243E-2</v>
      </c>
      <c r="G228">
        <f>(Datenabzug!G228/Datenabzug!G227-1)</f>
        <v>-3.2181222133057186E-2</v>
      </c>
      <c r="H228">
        <f>(Datenabzug!H228/Datenabzug!H227-1)</f>
        <v>1.0352866091777768E-2</v>
      </c>
      <c r="I228">
        <f>(Datenabzug!I228/Datenabzug!I227-1)</f>
        <v>2.4385399023660659E-2</v>
      </c>
      <c r="J228">
        <f>(Datenabzug!J228/Datenabzug!J227-1)</f>
        <v>3.8040225983176912E-2</v>
      </c>
      <c r="K228">
        <f>(Datenabzug!K228/Datenabzug!K227-1)</f>
        <v>7.6402060602265287E-4</v>
      </c>
    </row>
    <row r="229" spans="1:11">
      <c r="A229" s="1">
        <v>45621</v>
      </c>
      <c r="B229">
        <f>(Datenabzug!B229/Datenabzug!B228-1)</f>
        <v>2.5520885449305863E-2</v>
      </c>
      <c r="C229">
        <f>(Datenabzug!C229/Datenabzug!C228-1)</f>
        <v>7.196428104075725E-3</v>
      </c>
      <c r="D229">
        <f>(Datenabzug!D229/Datenabzug!D228-1)</f>
        <v>4.2926340600544233E-3</v>
      </c>
      <c r="E229">
        <f>(Datenabzug!E229/Datenabzug!E228-1)</f>
        <v>-3.5865794851737909E-2</v>
      </c>
      <c r="F229">
        <f>(Datenabzug!F229/Datenabzug!F228-1)</f>
        <v>2.4031088796507394E-2</v>
      </c>
      <c r="G229">
        <f>(Datenabzug!G229/Datenabzug!G228-1)</f>
        <v>-4.1775171137806155E-2</v>
      </c>
      <c r="H229">
        <f>(Datenabzug!H229/Datenabzug!H228-1)</f>
        <v>6.4816005225549755E-3</v>
      </c>
      <c r="I229">
        <f>(Datenabzug!I229/Datenabzug!I228-1)</f>
        <v>-6.4390951955863862E-3</v>
      </c>
      <c r="J229">
        <f>(Datenabzug!J229/Datenabzug!J228-1)</f>
        <v>-3.9624464821427452E-2</v>
      </c>
      <c r="K229">
        <f>(Datenabzug!K229/Datenabzug!K228-1)</f>
        <v>7.3152137551080187E-4</v>
      </c>
    </row>
    <row r="230" spans="1:11">
      <c r="A230" s="1">
        <v>45622</v>
      </c>
      <c r="B230">
        <f>(Datenabzug!B230/Datenabzug!B229-1)</f>
        <v>-1.5284203157365339E-2</v>
      </c>
      <c r="C230">
        <f>(Datenabzug!C230/Datenabzug!C229-1)</f>
        <v>2.640689218857295E-3</v>
      </c>
      <c r="D230">
        <f>(Datenabzug!D230/Datenabzug!D229-1)</f>
        <v>2.196805013008829E-2</v>
      </c>
      <c r="E230">
        <f>(Datenabzug!E230/Datenabzug!E229-1)</f>
        <v>8.0984629131355401E-3</v>
      </c>
      <c r="F230">
        <f>(Datenabzug!F230/Datenabzug!F229-1)</f>
        <v>-2.0817498393951417E-2</v>
      </c>
      <c r="G230">
        <f>(Datenabzug!G230/Datenabzug!G229-1)</f>
        <v>6.6166944601750988E-3</v>
      </c>
      <c r="H230">
        <f>(Datenabzug!H230/Datenabzug!H229-1)</f>
        <v>-5.4583975865802881E-3</v>
      </c>
      <c r="I230">
        <f>(Datenabzug!I230/Datenabzug!I229-1)</f>
        <v>-1.1390370011617246E-2</v>
      </c>
      <c r="J230">
        <f>(Datenabzug!J230/Datenabzug!J229-1)</f>
        <v>-1.0631895668965496E-3</v>
      </c>
      <c r="K230">
        <f>(Datenabzug!K230/Datenabzug!K229-1)</f>
        <v>6.4201993366912458E-3</v>
      </c>
    </row>
    <row r="231" spans="1:11">
      <c r="A231" s="1">
        <v>45623</v>
      </c>
      <c r="B231">
        <f>(Datenabzug!B231/Datenabzug!B230-1)</f>
        <v>1.0878213381565471E-2</v>
      </c>
      <c r="C231">
        <f>(Datenabzug!C231/Datenabzug!C230-1)</f>
        <v>-1.8590852749492681E-3</v>
      </c>
      <c r="D231">
        <f>(Datenabzug!D231/Datenabzug!D230-1)</f>
        <v>-1.1682551380522321E-2</v>
      </c>
      <c r="E231">
        <f>(Datenabzug!E231/Datenabzug!E230-1)</f>
        <v>5.4321010797049318E-3</v>
      </c>
      <c r="F231">
        <f>(Datenabzug!F231/Datenabzug!F230-1)</f>
        <v>9.405805788354149E-3</v>
      </c>
      <c r="G231">
        <f>(Datenabzug!G231/Datenabzug!G230-1)</f>
        <v>-1.1539692410866387E-2</v>
      </c>
      <c r="H231">
        <f>(Datenabzug!H231/Datenabzug!H230-1)</f>
        <v>3.4533905994797998E-3</v>
      </c>
      <c r="I231">
        <f>(Datenabzug!I231/Datenabzug!I230-1)</f>
        <v>8.2439344020746042E-3</v>
      </c>
      <c r="J231">
        <f>(Datenabzug!J231/Datenabzug!J230-1)</f>
        <v>-1.5788061864524749E-2</v>
      </c>
      <c r="K231">
        <f>(Datenabzug!K231/Datenabzug!K230-1)</f>
        <v>1.3295549995153921E-2</v>
      </c>
    </row>
    <row r="232" spans="1:11">
      <c r="A232" s="1">
        <v>45625</v>
      </c>
      <c r="B232">
        <f>(Datenabzug!B232/Datenabzug!B231-1)</f>
        <v>1.9947563429608017E-2</v>
      </c>
      <c r="C232">
        <f>(Datenabzug!C232/Datenabzug!C231-1)</f>
        <v>2.1111781441673916E-3</v>
      </c>
      <c r="D232">
        <f>(Datenabzug!D232/Datenabzug!D231-1)</f>
        <v>1.1112116204508027E-3</v>
      </c>
      <c r="E232">
        <f>(Datenabzug!E232/Datenabzug!E231-1)</f>
        <v>1.0793957203875548E-2</v>
      </c>
      <c r="F232">
        <f>(Datenabzug!F232/Datenabzug!F231-1)</f>
        <v>5.4889900317758311E-3</v>
      </c>
      <c r="G232">
        <f>(Datenabzug!G232/Datenabzug!G231-1)</f>
        <v>2.1501536097879637E-2</v>
      </c>
      <c r="H232">
        <f>(Datenabzug!H232/Datenabzug!H231-1)</f>
        <v>4.4862072108617923E-3</v>
      </c>
      <c r="I232">
        <f>(Datenabzug!I232/Datenabzug!I231-1)</f>
        <v>9.3587248129638478E-3</v>
      </c>
      <c r="J232">
        <f>(Datenabzug!J232/Datenabzug!J231-1)</f>
        <v>3.6858987875110216E-2</v>
      </c>
      <c r="K232">
        <f>(Datenabzug!K232/Datenabzug!K231-1)</f>
        <v>3.552885189124888E-3</v>
      </c>
    </row>
    <row r="233" spans="1:11">
      <c r="A233" s="1">
        <v>45628</v>
      </c>
      <c r="B233">
        <f>(Datenabzug!B233/Datenabzug!B232-1)</f>
        <v>7.0766265275932216E-3</v>
      </c>
      <c r="C233">
        <f>(Datenabzug!C233/Datenabzug!C232-1)</f>
        <v>-6.7103490219782014E-3</v>
      </c>
      <c r="D233">
        <f>(Datenabzug!D233/Datenabzug!D232-1)</f>
        <v>1.7758421343760489E-2</v>
      </c>
      <c r="E233">
        <f>(Datenabzug!E233/Datenabzug!E232-1)</f>
        <v>1.2325067044657301E-2</v>
      </c>
      <c r="F233">
        <f>(Datenabzug!F233/Datenabzug!F232-1)</f>
        <v>9.1871188469989651E-3</v>
      </c>
      <c r="G233">
        <f>(Datenabzug!G233/Datenabzug!G232-1)</f>
        <v>2.7485392899697647E-3</v>
      </c>
      <c r="H233">
        <f>(Datenabzug!H233/Datenabzug!H232-1)</f>
        <v>-2.4472669944678449E-3</v>
      </c>
      <c r="I233">
        <f>(Datenabzug!I233/Datenabzug!I232-1)</f>
        <v>-9.2719511734522531E-3</v>
      </c>
      <c r="J233">
        <f>(Datenabzug!J233/Datenabzug!J232-1)</f>
        <v>3.4563659025394378E-2</v>
      </c>
      <c r="K233">
        <f>(Datenabzug!K233/Datenabzug!K232-1)</f>
        <v>-4.6583387820198219E-3</v>
      </c>
    </row>
    <row r="234" spans="1:11">
      <c r="A234" s="1">
        <v>45629</v>
      </c>
      <c r="B234">
        <f>(Datenabzug!B234/Datenabzug!B233-1)</f>
        <v>-9.8376986851986814E-3</v>
      </c>
      <c r="C234">
        <f>(Datenabzug!C234/Datenabzug!C233-1)</f>
        <v>-2.0424649817991636E-3</v>
      </c>
      <c r="D234">
        <f>(Datenabzug!D234/Datenabzug!D233-1)</f>
        <v>5.1051071329522024E-4</v>
      </c>
      <c r="E234">
        <f>(Datenabzug!E234/Datenabzug!E233-1)</f>
        <v>4.934605480395815E-3</v>
      </c>
      <c r="F234">
        <f>(Datenabzug!F234/Datenabzug!F233-1)</f>
        <v>-2.9080086084702916E-3</v>
      </c>
      <c r="G234">
        <f>(Datenabzug!G234/Datenabzug!G233-1)</f>
        <v>1.1758018654955293E-2</v>
      </c>
      <c r="H234">
        <f>(Datenabzug!H234/Datenabzug!H233-1)</f>
        <v>-8.2796686361377159E-3</v>
      </c>
      <c r="I234">
        <f>(Datenabzug!I234/Datenabzug!I233-1)</f>
        <v>5.9106053473301223E-4</v>
      </c>
      <c r="J234">
        <f>(Datenabzug!J234/Datenabzug!J233-1)</f>
        <v>-1.5878302299991875E-2</v>
      </c>
      <c r="K234">
        <f>(Datenabzug!K234/Datenabzug!K233-1)</f>
        <v>2.6708262793173176E-2</v>
      </c>
    </row>
    <row r="235" spans="1:11">
      <c r="A235" s="1">
        <v>45630</v>
      </c>
      <c r="B235">
        <f>(Datenabzug!B235/Datenabzug!B234-1)</f>
        <v>2.1161282447070828E-2</v>
      </c>
      <c r="C235">
        <f>(Datenabzug!C235/Datenabzug!C234-1)</f>
        <v>-2.0623464262123914E-2</v>
      </c>
      <c r="D235">
        <f>(Datenabzug!D235/Datenabzug!D234-1)</f>
        <v>1.4424834962613708E-2</v>
      </c>
      <c r="E235">
        <f>(Datenabzug!E235/Datenabzug!E234-1)</f>
        <v>9.8540350674938271E-3</v>
      </c>
      <c r="F235">
        <f>(Datenabzug!F235/Datenabzug!F234-1)</f>
        <v>-6.2135444894393377E-3</v>
      </c>
      <c r="G235">
        <f>(Datenabzug!G235/Datenabzug!G234-1)</f>
        <v>3.4792414289373408E-2</v>
      </c>
      <c r="H235">
        <f>(Datenabzug!H235/Datenabzug!H234-1)</f>
        <v>-9.4000853767899351E-3</v>
      </c>
      <c r="I235">
        <f>(Datenabzug!I235/Datenabzug!I234-1)</f>
        <v>-8.5655813228958655E-3</v>
      </c>
      <c r="J235">
        <f>(Datenabzug!J235/Datenabzug!J234-1)</f>
        <v>1.8524782309775167E-2</v>
      </c>
      <c r="K235">
        <f>(Datenabzug!K235/Datenabzug!K234-1)</f>
        <v>1.0545143924459266E-2</v>
      </c>
    </row>
    <row r="236" spans="1:11">
      <c r="A236" s="1">
        <v>45631</v>
      </c>
      <c r="B236">
        <f>(Datenabzug!B236/Datenabzug!B235-1)</f>
        <v>-1.0171851293706125E-2</v>
      </c>
      <c r="C236">
        <f>(Datenabzug!C236/Datenabzug!C235-1)</f>
        <v>1.1412991207167211E-2</v>
      </c>
      <c r="D236">
        <f>(Datenabzug!D236/Datenabzug!D235-1)</f>
        <v>1.1887887529789642E-2</v>
      </c>
      <c r="E236">
        <f>(Datenabzug!E236/Datenabzug!E235-1)</f>
        <v>7.4748069027761321E-3</v>
      </c>
      <c r="F236">
        <f>(Datenabzug!F236/Datenabzug!F235-1)</f>
        <v>2.6796255773346989E-3</v>
      </c>
      <c r="G236">
        <f>(Datenabzug!G236/Datenabzug!G235-1)</f>
        <v>-4.8224424230491891E-4</v>
      </c>
      <c r="H236">
        <f>(Datenabzug!H236/Datenabzug!H235-1)</f>
        <v>1.9352870806519373E-3</v>
      </c>
      <c r="I236">
        <f>(Datenabzug!I236/Datenabzug!I235-1)</f>
        <v>-1.4597733279901215E-2</v>
      </c>
      <c r="J236">
        <f>(Datenabzug!J236/Datenabzug!J235-1)</f>
        <v>3.2296811653515833E-2</v>
      </c>
      <c r="K236">
        <f>(Datenabzug!K236/Datenabzug!K235-1)</f>
        <v>-7.6083863678464425E-3</v>
      </c>
    </row>
    <row r="237" spans="1:11">
      <c r="A237" s="1">
        <v>45632</v>
      </c>
      <c r="B237">
        <f>(Datenabzug!B237/Datenabzug!B236-1)</f>
        <v>-1.748902486236914E-2</v>
      </c>
      <c r="C237">
        <f>(Datenabzug!C237/Datenabzug!C236-1)</f>
        <v>-6.1983624847850027E-3</v>
      </c>
      <c r="D237">
        <f>(Datenabzug!D237/Datenabzug!D236-1)</f>
        <v>2.146284553727229E-3</v>
      </c>
      <c r="E237">
        <f>(Datenabzug!E237/Datenabzug!E236-1)</f>
        <v>1.8379503858859891E-2</v>
      </c>
      <c r="F237">
        <f>(Datenabzug!F237/Datenabzug!F236-1)</f>
        <v>3.9449448370780793E-3</v>
      </c>
      <c r="G237">
        <f>(Datenabzug!G237/Datenabzug!G236-1)</f>
        <v>-1.806142753829576E-2</v>
      </c>
      <c r="H237">
        <f>(Datenabzug!H237/Datenabzug!H236-1)</f>
        <v>-8.4520303806048247E-3</v>
      </c>
      <c r="I237">
        <f>(Datenabzug!I237/Datenabzug!I236-1)</f>
        <v>8.8683056724416787E-3</v>
      </c>
      <c r="J237">
        <f>(Datenabzug!J237/Datenabzug!J236-1)</f>
        <v>5.3397958017246561E-2</v>
      </c>
      <c r="K237">
        <f>(Datenabzug!K237/Datenabzug!K236-1)</f>
        <v>-2.2515037105177105E-2</v>
      </c>
    </row>
    <row r="238" spans="1:11">
      <c r="A238" s="1">
        <v>45635</v>
      </c>
      <c r="B238">
        <f>(Datenabzug!B238/Datenabzug!B237-1)</f>
        <v>2.0203993752546445E-2</v>
      </c>
      <c r="C238">
        <f>(Datenabzug!C238/Datenabzug!C237-1)</f>
        <v>1.1194591044936253E-3</v>
      </c>
      <c r="D238">
        <f>(Datenabzug!D238/Datenabzug!D237-1)</f>
        <v>5.5233584870586494E-3</v>
      </c>
      <c r="E238">
        <f>(Datenabzug!E238/Datenabzug!E237-1)</f>
        <v>-2.2519618303364686E-2</v>
      </c>
      <c r="F238">
        <f>(Datenabzug!F238/Datenabzug!F237-1)</f>
        <v>-1.5844776027106988E-2</v>
      </c>
      <c r="G238">
        <f>(Datenabzug!G238/Datenabzug!G237-1)</f>
        <v>-2.5484596143636407E-2</v>
      </c>
      <c r="H238">
        <f>(Datenabzug!H238/Datenabzug!H237-1)</f>
        <v>1.0647155560789434E-2</v>
      </c>
      <c r="I238">
        <f>(Datenabzug!I238/Datenabzug!I237-1)</f>
        <v>-7.9912484629104386E-3</v>
      </c>
      <c r="J238">
        <f>(Datenabzug!J238/Datenabzug!J237-1)</f>
        <v>1.4644862094195243E-3</v>
      </c>
      <c r="K238">
        <f>(Datenabzug!K238/Datenabzug!K237-1)</f>
        <v>-3.2086043200037051E-2</v>
      </c>
    </row>
    <row r="239" spans="1:11">
      <c r="A239" s="1">
        <v>45636</v>
      </c>
      <c r="B239">
        <f>(Datenabzug!B239/Datenabzug!B238-1)</f>
        <v>4.4956782470815915E-2</v>
      </c>
      <c r="C239">
        <f>(Datenabzug!C239/Datenabzug!C238-1)</f>
        <v>4.9520874717943197E-3</v>
      </c>
      <c r="D239">
        <f>(Datenabzug!D239/Datenabzug!D238-1)</f>
        <v>-6.0311659810086127E-3</v>
      </c>
      <c r="E239">
        <f>(Datenabzug!E239/Datenabzug!E238-1)</f>
        <v>-3.7214684910680251E-4</v>
      </c>
      <c r="F239">
        <f>(Datenabzug!F239/Datenabzug!F238-1)</f>
        <v>-1.1591973585301618E-2</v>
      </c>
      <c r="G239">
        <f>(Datenabzug!G239/Datenabzug!G238-1)</f>
        <v>-2.6943187698904802E-2</v>
      </c>
      <c r="H239">
        <f>(Datenabzug!H239/Datenabzug!H238-1)</f>
        <v>2.3200941387915286E-3</v>
      </c>
      <c r="I239">
        <f>(Datenabzug!I239/Datenabzug!I238-1)</f>
        <v>-1.1579817002021597E-2</v>
      </c>
      <c r="J239">
        <f>(Datenabzug!J239/Datenabzug!J238-1)</f>
        <v>2.8733372954487191E-2</v>
      </c>
      <c r="K239">
        <f>(Datenabzug!K239/Datenabzug!K238-1)</f>
        <v>-1.4637149584882159E-2</v>
      </c>
    </row>
    <row r="240" spans="1:11">
      <c r="A240" s="1">
        <v>45637</v>
      </c>
      <c r="B240">
        <f>(Datenabzug!B240/Datenabzug!B239-1)</f>
        <v>1.1334555400191126E-2</v>
      </c>
      <c r="C240">
        <f>(Datenabzug!C240/Datenabzug!C239-1)</f>
        <v>-4.2918230509488842E-3</v>
      </c>
      <c r="D240">
        <f>(Datenabzug!D240/Datenabzug!D239-1)</f>
        <v>1.2767113946620334E-2</v>
      </c>
      <c r="E240">
        <f>(Datenabzug!E240/Datenabzug!E239-1)</f>
        <v>2.5411969773980747E-2</v>
      </c>
      <c r="F240">
        <f>(Datenabzug!F240/Datenabzug!F239-1)</f>
        <v>2.7495480420284713E-2</v>
      </c>
      <c r="G240">
        <f>(Datenabzug!G240/Datenabzug!G239-1)</f>
        <v>3.1391040457626085E-2</v>
      </c>
      <c r="H240">
        <f>(Datenabzug!H240/Datenabzug!H239-1)</f>
        <v>-1.9206638020977107E-2</v>
      </c>
      <c r="I240">
        <f>(Datenabzug!I240/Datenabzug!I239-1)</f>
        <v>2.6485940676252984E-3</v>
      </c>
      <c r="J240">
        <f>(Datenabzug!J240/Datenabzug!J239-1)</f>
        <v>5.9303222919347309E-2</v>
      </c>
      <c r="K240">
        <f>(Datenabzug!K240/Datenabzug!K239-1)</f>
        <v>7.118435727023531E-3</v>
      </c>
    </row>
    <row r="241" spans="1:11">
      <c r="A241" s="1">
        <v>45638</v>
      </c>
      <c r="B241">
        <f>(Datenabzug!B241/Datenabzug!B240-1)</f>
        <v>1.0785690610504384E-2</v>
      </c>
      <c r="C241">
        <f>(Datenabzug!C241/Datenabzug!C240-1)</f>
        <v>1.915709735474791E-2</v>
      </c>
      <c r="D241">
        <f>(Datenabzug!D241/Datenabzug!D240-1)</f>
        <v>1.2694323621131876E-3</v>
      </c>
      <c r="E241">
        <f>(Datenabzug!E241/Datenabzug!E240-1)</f>
        <v>-1.175579759366796E-2</v>
      </c>
      <c r="F241">
        <f>(Datenabzug!F241/Datenabzug!F240-1)</f>
        <v>-1.1287314382556257E-2</v>
      </c>
      <c r="G241">
        <f>(Datenabzug!G241/Datenabzug!G240-1)</f>
        <v>-1.4141116035699564E-2</v>
      </c>
      <c r="H241">
        <f>(Datenabzug!H241/Datenabzug!H240-1)</f>
        <v>1.3586730735726027E-2</v>
      </c>
      <c r="I241">
        <f>(Datenabzug!I241/Datenabzug!I240-1)</f>
        <v>-6.0962539562937623E-3</v>
      </c>
      <c r="J241">
        <f>(Datenabzug!J241/Datenabzug!J240-1)</f>
        <v>-1.5702575706075472E-2</v>
      </c>
      <c r="K241">
        <f>(Datenabzug!K241/Datenabzug!K240-1)</f>
        <v>-4.7444006078943834E-3</v>
      </c>
    </row>
    <row r="242" spans="1:11">
      <c r="A242" s="1">
        <v>45639</v>
      </c>
      <c r="B242">
        <f>(Datenabzug!B242/Datenabzug!B241-1)</f>
        <v>1.1326342154897251E-2</v>
      </c>
      <c r="C242">
        <f>(Datenabzug!C242/Datenabzug!C241-1)</f>
        <v>-1.1278237195503582E-2</v>
      </c>
      <c r="D242">
        <f>(Datenabzug!D242/Datenabzug!D241-1)</f>
        <v>-5.0938475186177445E-3</v>
      </c>
      <c r="E242">
        <f>(Datenabzug!E242/Datenabzug!E241-1)</f>
        <v>-7.2173224178952999E-3</v>
      </c>
      <c r="F242">
        <f>(Datenabzug!F242/Datenabzug!F241-1)</f>
        <v>-9.1072145523757309E-3</v>
      </c>
      <c r="G242">
        <f>(Datenabzug!G242/Datenabzug!G241-1)</f>
        <v>-2.2498847405355127E-2</v>
      </c>
      <c r="H242">
        <f>(Datenabzug!H242/Datenabzug!H241-1)</f>
        <v>-5.8526766559224841E-3</v>
      </c>
      <c r="I242">
        <f>(Datenabzug!I242/Datenabzug!I241-1)</f>
        <v>-4.0891238040851041E-3</v>
      </c>
      <c r="J242">
        <f>(Datenabzug!J242/Datenabzug!J241-1)</f>
        <v>4.3362842903963861E-2</v>
      </c>
      <c r="K242">
        <f>(Datenabzug!K242/Datenabzug!K241-1)</f>
        <v>9.793456535677425E-3</v>
      </c>
    </row>
    <row r="243" spans="1:11">
      <c r="A243" s="1">
        <v>45642</v>
      </c>
      <c r="B243">
        <f>(Datenabzug!B243/Datenabzug!B242-1)</f>
        <v>2.0748625989393199E-2</v>
      </c>
      <c r="C243">
        <f>(Datenabzug!C243/Datenabzug!C242-1)</f>
        <v>-9.030398376196902E-3</v>
      </c>
      <c r="D243">
        <f>(Datenabzug!D243/Datenabzug!D242-1)</f>
        <v>9.6585543668430418E-3</v>
      </c>
      <c r="E243">
        <f>(Datenabzug!E243/Datenabzug!E242-1)</f>
        <v>2.4051519631720364E-3</v>
      </c>
      <c r="F243">
        <f>(Datenabzug!F243/Datenabzug!F242-1)</f>
        <v>-6.4729420430842399E-4</v>
      </c>
      <c r="G243">
        <f>(Datenabzug!G243/Datenabzug!G242-1)</f>
        <v>-1.6759867351586522E-2</v>
      </c>
      <c r="H243">
        <f>(Datenabzug!H243/Datenabzug!H242-1)</f>
        <v>-1.2344082076617746E-2</v>
      </c>
      <c r="I243">
        <f>(Datenabzug!I243/Datenabzug!I242-1)</f>
        <v>-4.4138747378050236E-2</v>
      </c>
      <c r="J243">
        <f>(Datenabzug!J243/Datenabzug!J242-1)</f>
        <v>6.1412505679675933E-2</v>
      </c>
      <c r="K243">
        <f>(Datenabzug!K243/Datenabzug!K242-1)</f>
        <v>5.6520317867592151E-3</v>
      </c>
    </row>
    <row r="244" spans="1:11">
      <c r="A244" s="1">
        <v>45643</v>
      </c>
      <c r="B244">
        <f>(Datenabzug!B244/Datenabzug!B243-1)</f>
        <v>-8.0845060420009496E-4</v>
      </c>
      <c r="C244">
        <f>(Datenabzug!C244/Datenabzug!C243-1)</f>
        <v>1.3589156047880246E-2</v>
      </c>
      <c r="D244">
        <f>(Datenabzug!D244/Datenabzug!D243-1)</f>
        <v>6.3553920873606895E-3</v>
      </c>
      <c r="E244">
        <f>(Datenabzug!E244/Datenabzug!E243-1)</f>
        <v>-2.1170931632975565E-3</v>
      </c>
      <c r="F244">
        <f>(Datenabzug!F244/Datenabzug!F243-1)</f>
        <v>1.0362715541204048E-2</v>
      </c>
      <c r="G244">
        <f>(Datenabzug!G244/Datenabzug!G243-1)</f>
        <v>-1.2196863234307354E-2</v>
      </c>
      <c r="H244">
        <f>(Datenabzug!H244/Datenabzug!H243-1)</f>
        <v>7.690532953876783E-4</v>
      </c>
      <c r="I244">
        <f>(Datenabzug!I244/Datenabzug!I243-1)</f>
        <v>-1.1061102850139948E-2</v>
      </c>
      <c r="J244">
        <f>(Datenabzug!J244/Datenabzug!J243-1)</f>
        <v>3.6369912179739172E-2</v>
      </c>
      <c r="K244">
        <f>(Datenabzug!K244/Datenabzug!K243-1)</f>
        <v>-8.3664595381920392E-3</v>
      </c>
    </row>
    <row r="245" spans="1:11">
      <c r="A245" s="1">
        <v>45644</v>
      </c>
      <c r="B245">
        <f>(Datenabzug!B245/Datenabzug!B244-1)</f>
        <v>-2.3695524764579812E-3</v>
      </c>
      <c r="C245">
        <f>(Datenabzug!C245/Datenabzug!C244-1)</f>
        <v>-8.6751643159054259E-3</v>
      </c>
      <c r="D245">
        <f>(Datenabzug!D245/Datenabzug!D244-1)</f>
        <v>-3.7561028320671208E-2</v>
      </c>
      <c r="E245">
        <f>(Datenabzug!E245/Datenabzug!E244-1)</f>
        <v>-3.2182625888288241E-2</v>
      </c>
      <c r="F245">
        <f>(Datenabzug!F245/Datenabzug!F244-1)</f>
        <v>-1.4102555602056088E-2</v>
      </c>
      <c r="G245">
        <f>(Datenabzug!G245/Datenabzug!G244-1)</f>
        <v>-1.1350607336729657E-2</v>
      </c>
      <c r="H245">
        <f>(Datenabzug!H245/Datenabzug!H244-1)</f>
        <v>-1.0951734088516796E-2</v>
      </c>
      <c r="I245">
        <f>(Datenabzug!I245/Datenabzug!I244-1)</f>
        <v>-2.3781057443472586E-2</v>
      </c>
      <c r="J245">
        <f>(Datenabzug!J245/Datenabzug!J244-1)</f>
        <v>-8.2794943695174816E-2</v>
      </c>
      <c r="K245">
        <f>(Datenabzug!K245/Datenabzug!K244-1)</f>
        <v>-9.596574351247944E-3</v>
      </c>
    </row>
    <row r="246" spans="1:11">
      <c r="A246" s="1">
        <v>45645</v>
      </c>
      <c r="B246">
        <f>(Datenabzug!B246/Datenabzug!B245-1)</f>
        <v>2.560536608719266E-2</v>
      </c>
      <c r="C246">
        <f>(Datenabzug!C246/Datenabzug!C245-1)</f>
        <v>-6.3642604836210426E-3</v>
      </c>
      <c r="D246">
        <f>(Datenabzug!D246/Datenabzug!D245-1)</f>
        <v>-8.23113059537528E-4</v>
      </c>
      <c r="E246">
        <f>(Datenabzug!E246/Datenabzug!E245-1)</f>
        <v>1.4040796364197083E-2</v>
      </c>
      <c r="F246">
        <f>(Datenabzug!F246/Datenabzug!F245-1)</f>
        <v>2.6007603936817336E-3</v>
      </c>
      <c r="G246">
        <f>(Datenabzug!G246/Datenabzug!G245-1)</f>
        <v>1.3730391877139203E-2</v>
      </c>
      <c r="H246">
        <f>(Datenabzug!H246/Datenabzug!H245-1)</f>
        <v>-1.9167211520861871E-2</v>
      </c>
      <c r="I246">
        <f>(Datenabzug!I246/Datenabzug!I245-1)</f>
        <v>-1.268070908377672E-2</v>
      </c>
      <c r="J246">
        <f>(Datenabzug!J246/Datenabzug!J245-1)</f>
        <v>-8.9973221801417091E-3</v>
      </c>
      <c r="K246">
        <f>(Datenabzug!K246/Datenabzug!K245-1)</f>
        <v>1.1217616393627283E-2</v>
      </c>
    </row>
    <row r="247" spans="1:11">
      <c r="A247" s="1">
        <v>45646</v>
      </c>
      <c r="B247">
        <f>(Datenabzug!B247/Datenabzug!B246-1)</f>
        <v>1.7510891840240017E-3</v>
      </c>
      <c r="C247">
        <f>(Datenabzug!C247/Datenabzug!C246-1)</f>
        <v>1.6012404376728462E-3</v>
      </c>
      <c r="D247">
        <f>(Datenabzug!D247/Datenabzug!D246-1)</f>
        <v>-9.8382475736435993E-4</v>
      </c>
      <c r="E247">
        <f>(Datenabzug!E247/Datenabzug!E246-1)</f>
        <v>7.7712850166076208E-3</v>
      </c>
      <c r="F247">
        <f>(Datenabzug!F247/Datenabzug!F246-1)</f>
        <v>-2.0752111878798996E-3</v>
      </c>
      <c r="G247">
        <f>(Datenabzug!G247/Datenabzug!G246-1)</f>
        <v>3.0762265088741803E-2</v>
      </c>
      <c r="H247">
        <f>(Datenabzug!H247/Datenabzug!H246-1)</f>
        <v>8.714525767893555E-3</v>
      </c>
      <c r="I247">
        <f>(Datenabzug!I247/Datenabzug!I246-1)</f>
        <v>-8.9004085982745673E-3</v>
      </c>
      <c r="J247">
        <f>(Datenabzug!J247/Datenabzug!J246-1)</f>
        <v>-3.4642491239587292E-2</v>
      </c>
      <c r="K247">
        <f>(Datenabzug!K247/Datenabzug!K246-1)</f>
        <v>2.1125572899407752E-2</v>
      </c>
    </row>
    <row r="248" spans="1:11">
      <c r="A248" s="1">
        <v>45649</v>
      </c>
      <c r="B248">
        <f>(Datenabzug!B248/Datenabzug!B247-1)</f>
        <v>1.9170923382576532E-3</v>
      </c>
      <c r="C248">
        <f>(Datenabzug!C248/Datenabzug!C247-1)</f>
        <v>-2.7177817109906854E-3</v>
      </c>
      <c r="D248">
        <f>(Datenabzug!D248/Datenabzug!D247-1)</f>
        <v>-3.0921186548948931E-3</v>
      </c>
      <c r="E248">
        <f>(Datenabzug!E248/Datenabzug!E247-1)</f>
        <v>2.6401456974769477E-3</v>
      </c>
      <c r="F248">
        <f>(Datenabzug!F248/Datenabzug!F247-1)</f>
        <v>-2.3394674754426692E-3</v>
      </c>
      <c r="G248">
        <f>(Datenabzug!G248/Datenabzug!G247-1)</f>
        <v>3.6896769803423934E-2</v>
      </c>
      <c r="H248">
        <f>(Datenabzug!H248/Datenabzug!H247-1)</f>
        <v>-9.8173076697818384E-3</v>
      </c>
      <c r="I248">
        <f>(Datenabzug!I248/Datenabzug!I247-1)</f>
        <v>-6.0247676697325891E-3</v>
      </c>
      <c r="J248">
        <f>(Datenabzug!J248/Datenabzug!J247-1)</f>
        <v>2.2657123925894807E-2</v>
      </c>
      <c r="K248">
        <f>(Datenabzug!K248/Datenabzug!K247-1)</f>
        <v>-1.0045052406059019E-2</v>
      </c>
    </row>
    <row r="249" spans="1:11">
      <c r="A249" s="1">
        <v>45650</v>
      </c>
      <c r="B249">
        <f>(Datenabzug!B249/Datenabzug!B248-1)</f>
        <v>9.2858004041509457E-3</v>
      </c>
      <c r="C249">
        <f>(Datenabzug!C249/Datenabzug!C248-1)</f>
        <v>7.3741699808911321E-3</v>
      </c>
      <c r="D249">
        <f>(Datenabzug!D249/Datenabzug!D248-1)</f>
        <v>9.3738943015821974E-3</v>
      </c>
      <c r="E249">
        <f>(Datenabzug!E249/Datenabzug!E248-1)</f>
        <v>2.2678131146330882E-2</v>
      </c>
      <c r="F249">
        <f>(Datenabzug!F249/Datenabzug!F248-1)</f>
        <v>3.907752897274186E-4</v>
      </c>
      <c r="G249">
        <f>(Datenabzug!G249/Datenabzug!G248-1)</f>
        <v>3.937965031442392E-3</v>
      </c>
      <c r="H249">
        <f>(Datenabzug!H249/Datenabzug!H248-1)</f>
        <v>1.0046928527318588E-2</v>
      </c>
      <c r="I249">
        <f>(Datenabzug!I249/Datenabzug!I248-1)</f>
        <v>2.824792274418586E-2</v>
      </c>
      <c r="J249">
        <f>(Datenabzug!J249/Datenabzug!J248-1)</f>
        <v>7.3571742282245278E-2</v>
      </c>
      <c r="K249">
        <f>(Datenabzug!K249/Datenabzug!K248-1)</f>
        <v>5.2483531890541446E-3</v>
      </c>
    </row>
    <row r="250" spans="1:11">
      <c r="A250" s="1">
        <v>45652</v>
      </c>
      <c r="B250">
        <f>(Datenabzug!B250/Datenabzug!B249-1)</f>
        <v>5.799088692756138E-3</v>
      </c>
      <c r="C250">
        <f>(Datenabzug!C250/Datenabzug!C249-1)</f>
        <v>-4.2966651928727506E-3</v>
      </c>
      <c r="D250">
        <f>(Datenabzug!D250/Datenabzug!D249-1)</f>
        <v>-2.7769661867549367E-3</v>
      </c>
      <c r="E250">
        <f>(Datenabzug!E250/Datenabzug!E249-1)</f>
        <v>-8.5611085595763692E-3</v>
      </c>
      <c r="F250">
        <f>(Datenabzug!F250/Datenabzug!F249-1)</f>
        <v>1.9534147817399372E-3</v>
      </c>
      <c r="G250">
        <f>(Datenabzug!G250/Datenabzug!G249-1)</f>
        <v>-2.0682468117316777E-3</v>
      </c>
      <c r="H250">
        <f>(Datenabzug!H250/Datenabzug!H249-1)</f>
        <v>-2.4213139174683596E-3</v>
      </c>
      <c r="I250">
        <f>(Datenabzug!I250/Datenabzug!I249-1)</f>
        <v>2.1688304881893883E-2</v>
      </c>
      <c r="J250">
        <f>(Datenabzug!J250/Datenabzug!J249-1)</f>
        <v>-1.762999463097048E-2</v>
      </c>
      <c r="K250">
        <f>(Datenabzug!K250/Datenabzug!K249-1)</f>
        <v>5.8221818133998848E-3</v>
      </c>
    </row>
    <row r="251" spans="1:11">
      <c r="A251" s="1">
        <v>45653</v>
      </c>
      <c r="B251">
        <f>(Datenabzug!B251/Datenabzug!B250-1)</f>
        <v>1.8848892820015895E-3</v>
      </c>
      <c r="C251">
        <f>(Datenabzug!C251/Datenabzug!C250-1)</f>
        <v>-1.9178281817452403E-3</v>
      </c>
      <c r="D251">
        <f>(Datenabzug!D251/Datenabzug!D250-1)</f>
        <v>-1.7301580042689002E-2</v>
      </c>
      <c r="E251">
        <f>(Datenabzug!E251/Datenabzug!E250-1)</f>
        <v>-1.7951854256392452E-2</v>
      </c>
      <c r="F251">
        <f>(Datenabzug!F251/Datenabzug!F250-1)</f>
        <v>-6.7585619202432667E-3</v>
      </c>
      <c r="G251">
        <f>(Datenabzug!G251/Datenabzug!G250-1)</f>
        <v>-2.0867661063854626E-2</v>
      </c>
      <c r="H251">
        <f>(Datenabzug!H251/Datenabzug!H250-1)</f>
        <v>2.9519337590746542E-3</v>
      </c>
      <c r="I251">
        <f>(Datenabzug!I251/Datenabzug!I250-1)</f>
        <v>4.2456151474787873E-3</v>
      </c>
      <c r="J251">
        <f>(Datenabzug!J251/Datenabzug!J250-1)</f>
        <v>-4.9479226166747936E-2</v>
      </c>
      <c r="K251">
        <f>(Datenabzug!K251/Datenabzug!K250-1)</f>
        <v>-4.9075908610217711E-3</v>
      </c>
    </row>
    <row r="252" spans="1:11">
      <c r="A252" s="1">
        <v>45656</v>
      </c>
      <c r="B252">
        <f>(Datenabzug!B252/Datenabzug!B251-1)</f>
        <v>-2.3074358902053338E-2</v>
      </c>
      <c r="C252">
        <f>(Datenabzug!C252/Datenabzug!C251-1)</f>
        <v>-6.7254205440668846E-3</v>
      </c>
      <c r="D252">
        <f>(Datenabzug!D252/Datenabzug!D251-1)</f>
        <v>-1.323954842525521E-2</v>
      </c>
      <c r="E252">
        <f>(Datenabzug!E252/Datenabzug!E251-1)</f>
        <v>-7.8452925050461753E-3</v>
      </c>
      <c r="F252">
        <f>(Datenabzug!F252/Datenabzug!F251-1)</f>
        <v>-2.3161351096322447E-2</v>
      </c>
      <c r="G252">
        <f>(Datenabzug!G252/Datenabzug!G251-1)</f>
        <v>3.5034831548672596E-3</v>
      </c>
      <c r="H252">
        <f>(Datenabzug!H252/Datenabzug!H251-1)</f>
        <v>-7.6525400722594616E-3</v>
      </c>
      <c r="I252">
        <f>(Datenabzug!I252/Datenabzug!I251-1)</f>
        <v>-1.810292202762509E-2</v>
      </c>
      <c r="J252">
        <f>(Datenabzug!J252/Datenabzug!J251-1)</f>
        <v>-3.3012092570787521E-2</v>
      </c>
      <c r="K252">
        <f>(Datenabzug!K252/Datenabzug!K251-1)</f>
        <v>-9.7057505258157928E-3</v>
      </c>
    </row>
    <row r="253" spans="1:11">
      <c r="A253" s="1">
        <v>45657</v>
      </c>
      <c r="B253">
        <f>(Datenabzug!B253/Datenabzug!B252-1)</f>
        <v>2.5488356865737138E-3</v>
      </c>
      <c r="C253">
        <f>(Datenabzug!C253/Datenabzug!C252-1)</f>
        <v>3.7078268851380436E-3</v>
      </c>
      <c r="D253">
        <f>(Datenabzug!D253/Datenabzug!D252-1)</f>
        <v>-7.8383917866181596E-3</v>
      </c>
      <c r="E253">
        <f>(Datenabzug!E253/Datenabzug!E252-1)</f>
        <v>-1.0117372172922856E-2</v>
      </c>
      <c r="F253">
        <f>(Datenabzug!F253/Datenabzug!F252-1)</f>
        <v>1.3663658974860216E-2</v>
      </c>
      <c r="G253">
        <f>(Datenabzug!G253/Datenabzug!G252-1)</f>
        <v>-2.3274381763307539E-2</v>
      </c>
      <c r="H253">
        <f>(Datenabzug!H253/Datenabzug!H252-1)</f>
        <v>2.2410482952643918E-3</v>
      </c>
      <c r="I253">
        <f>(Datenabzug!I253/Datenabzug!I252-1)</f>
        <v>7.3967257338136694E-3</v>
      </c>
      <c r="J253">
        <f>(Datenabzug!J253/Datenabzug!J252-1)</f>
        <v>-3.2510019417751668E-2</v>
      </c>
      <c r="K253">
        <f>(Datenabzug!K253/Datenabzug!K252-1)</f>
        <v>2.8173340479111797E-3</v>
      </c>
    </row>
    <row r="254" spans="1:11">
      <c r="A254" s="1">
        <v>45659</v>
      </c>
      <c r="B254">
        <f>(Datenabzug!B254/Datenabzug!B253-1)</f>
        <v>-2.8983078433971854E-2</v>
      </c>
      <c r="C254">
        <f>(Datenabzug!C254/Datenabzug!C253-1)</f>
        <v>-6.7458209645014922E-3</v>
      </c>
      <c r="D254">
        <f>(Datenabzug!D254/Datenabzug!D253-1)</f>
        <v>-6.9276319892095373E-3</v>
      </c>
      <c r="E254">
        <f>(Datenabzug!E254/Datenabzug!E253-1)</f>
        <v>-5.1496957520873465E-3</v>
      </c>
      <c r="F254">
        <f>(Datenabzug!F254/Datenabzug!F253-1)</f>
        <v>-2.6430556874580402E-2</v>
      </c>
      <c r="G254">
        <f>(Datenabzug!G254/Datenabzug!G253-1)</f>
        <v>2.993519223847696E-2</v>
      </c>
      <c r="H254">
        <f>(Datenabzug!H254/Datenabzug!H253-1)</f>
        <v>-1.2166281831780035E-2</v>
      </c>
      <c r="I254">
        <f>(Datenabzug!I254/Datenabzug!I253-1)</f>
        <v>1.0082202922862882E-2</v>
      </c>
      <c r="J254">
        <f>(Datenabzug!J254/Datenabzug!J253-1)</f>
        <v>-6.0816159323765495E-2</v>
      </c>
      <c r="K254">
        <f>(Datenabzug!K254/Datenabzug!K253-1)</f>
        <v>-1.2674084567519284E-2</v>
      </c>
    </row>
    <row r="255" spans="1:11">
      <c r="A255" s="1">
        <v>45660</v>
      </c>
      <c r="B255">
        <f>(Datenabzug!B255/Datenabzug!B254-1)</f>
        <v>-1.1462159054346666E-2</v>
      </c>
      <c r="C255">
        <f>(Datenabzug!C255/Datenabzug!C254-1)</f>
        <v>-1.455381890206775E-3</v>
      </c>
      <c r="D255">
        <f>(Datenabzug!D255/Datenabzug!D254-1)</f>
        <v>1.1395690913117207E-2</v>
      </c>
      <c r="E255">
        <f>(Datenabzug!E255/Datenabzug!E254-1)</f>
        <v>-6.4055493790561302E-3</v>
      </c>
      <c r="F255">
        <f>(Datenabzug!F255/Datenabzug!F254-1)</f>
        <v>-4.8866195914692989E-3</v>
      </c>
      <c r="G255">
        <f>(Datenabzug!G255/Datenabzug!G254-1)</f>
        <v>4.453767761715488E-2</v>
      </c>
      <c r="H255">
        <f>(Datenabzug!H255/Datenabzug!H254-1)</f>
        <v>-3.7281461983663666E-3</v>
      </c>
      <c r="I255">
        <f>(Datenabzug!I255/Datenabzug!I254-1)</f>
        <v>4.448320582140175E-3</v>
      </c>
      <c r="J255">
        <f>(Datenabzug!J255/Datenabzug!J254-1)</f>
        <v>8.2155673282002128E-2</v>
      </c>
      <c r="K255">
        <f>(Datenabzug!K255/Datenabzug!K254-1)</f>
        <v>-7.4355124122216232E-4</v>
      </c>
    </row>
    <row r="256" spans="1:11">
      <c r="A256" s="1">
        <v>45663</v>
      </c>
      <c r="B256">
        <f>(Datenabzug!B256/Datenabzug!B255-1)</f>
        <v>5.1795462885546595E-3</v>
      </c>
      <c r="C256">
        <f>(Datenabzug!C256/Datenabzug!C255-1)</f>
        <v>-1.5222650131125115E-2</v>
      </c>
      <c r="D256">
        <f>(Datenabzug!D256/Datenabzug!D255-1)</f>
        <v>1.0629484203972472E-2</v>
      </c>
      <c r="E256">
        <f>(Datenabzug!E256/Datenabzug!E255-1)</f>
        <v>8.3989585679322687E-4</v>
      </c>
      <c r="F256">
        <f>(Datenabzug!F256/Datenabzug!F255-1)</f>
        <v>-1.7869343586543796E-2</v>
      </c>
      <c r="G256">
        <f>(Datenabzug!G256/Datenabzug!G255-1)</f>
        <v>3.4332270845126578E-2</v>
      </c>
      <c r="H256">
        <f>(Datenabzug!H256/Datenabzug!H255-1)</f>
        <v>-2.2586007193427848E-2</v>
      </c>
      <c r="I256">
        <f>(Datenabzug!I256/Datenabzug!I255-1)</f>
        <v>5.9407064132233067E-3</v>
      </c>
      <c r="J256">
        <f>(Datenabzug!J256/Datenabzug!J255-1)</f>
        <v>1.4861742226235375E-3</v>
      </c>
      <c r="K256">
        <f>(Datenabzug!K256/Datenabzug!K255-1)</f>
        <v>-7.8631546893177529E-3</v>
      </c>
    </row>
    <row r="257" spans="1:11">
      <c r="A257" s="1">
        <v>45664</v>
      </c>
      <c r="B257">
        <f>(Datenabzug!B257/Datenabzug!B256-1)</f>
        <v>1.0129966857387762E-2</v>
      </c>
      <c r="C257">
        <f>(Datenabzug!C257/Datenabzug!C256-1)</f>
        <v>4.9330195107333275E-4</v>
      </c>
      <c r="D257">
        <f>(Datenabzug!D257/Datenabzug!D256-1)</f>
        <v>-1.2808233998711227E-2</v>
      </c>
      <c r="E257">
        <f>(Datenabzug!E257/Datenabzug!E256-1)</f>
        <v>-2.9485202267248711E-3</v>
      </c>
      <c r="F257">
        <f>(Datenabzug!F257/Datenabzug!F256-1)</f>
        <v>1.2499368813494449E-3</v>
      </c>
      <c r="G257">
        <f>(Datenabzug!G257/Datenabzug!G256-1)</f>
        <v>-6.2169565467389498E-2</v>
      </c>
      <c r="H257">
        <f>(Datenabzug!H257/Datenabzug!H256-1)</f>
        <v>-5.9479863995562932E-3</v>
      </c>
      <c r="I257">
        <f>(Datenabzug!I257/Datenabzug!I256-1)</f>
        <v>-3.1138934675345453E-3</v>
      </c>
      <c r="J257">
        <f>(Datenabzug!J257/Datenabzug!J256-1)</f>
        <v>-4.0603340073111061E-2</v>
      </c>
      <c r="K257">
        <f>(Datenabzug!K257/Datenabzug!K256-1)</f>
        <v>7.7950344508337377E-3</v>
      </c>
    </row>
    <row r="258" spans="1:11">
      <c r="A258" s="1">
        <v>45665</v>
      </c>
      <c r="B258">
        <f>(Datenabzug!B258/Datenabzug!B257-1)</f>
        <v>-4.347574192116066E-3</v>
      </c>
      <c r="C258">
        <f>(Datenabzug!C258/Datenabzug!C257-1)</f>
        <v>1.4299848023919592E-2</v>
      </c>
      <c r="D258">
        <f>(Datenabzug!D258/Datenabzug!D257-1)</f>
        <v>5.1850218024487305E-3</v>
      </c>
      <c r="E258">
        <f>(Datenabzug!E258/Datenabzug!E257-1)</f>
        <v>-4.7657530565302642E-3</v>
      </c>
      <c r="F258">
        <f>(Datenabzug!F258/Datenabzug!F257-1)</f>
        <v>-1.1097155791689017E-2</v>
      </c>
      <c r="G258">
        <f>(Datenabzug!G258/Datenabzug!G257-1)</f>
        <v>-2.1398860382870755E-4</v>
      </c>
      <c r="H258">
        <f>(Datenabzug!H258/Datenabzug!H257-1)</f>
        <v>7.8404933282589795E-3</v>
      </c>
      <c r="I258">
        <f>(Datenabzug!I258/Datenabzug!I257-1)</f>
        <v>-2.5851136758578974E-3</v>
      </c>
      <c r="J258">
        <f>(Datenabzug!J258/Datenabzug!J257-1)</f>
        <v>1.4707807875764534E-3</v>
      </c>
      <c r="K258">
        <f>(Datenabzug!K258/Datenabzug!K257-1)</f>
        <v>1.6666542500753945E-2</v>
      </c>
    </row>
    <row r="259" spans="1:11">
      <c r="A259" s="1">
        <v>45667</v>
      </c>
      <c r="B259">
        <f>(Datenabzug!B259/Datenabzug!B258-1)</f>
        <v>1.3973305824450666E-3</v>
      </c>
      <c r="C259">
        <f>(Datenabzug!C259/Datenabzug!C258-1)</f>
        <v>-1.0371128716314182E-2</v>
      </c>
      <c r="D259">
        <f>(Datenabzug!D259/Datenabzug!D258-1)</f>
        <v>-1.32136491878736E-2</v>
      </c>
      <c r="E259">
        <f>(Datenabzug!E259/Datenabzug!E258-1)</f>
        <v>-4.2639997209821701E-2</v>
      </c>
      <c r="F259">
        <f>(Datenabzug!F259/Datenabzug!F258-1)</f>
        <v>-1.2624936523425445E-3</v>
      </c>
      <c r="G259">
        <f>(Datenabzug!G259/Datenabzug!G258-1)</f>
        <v>-2.997636254138436E-2</v>
      </c>
      <c r="H259">
        <f>(Datenabzug!H259/Datenabzug!H258-1)</f>
        <v>-2.6613927545839022E-2</v>
      </c>
      <c r="I259">
        <f>(Datenabzug!I259/Datenabzug!I258-1)</f>
        <v>-3.7796485263893453E-3</v>
      </c>
      <c r="J259">
        <f>(Datenabzug!J259/Datenabzug!J258-1)</f>
        <v>-5.0643694180030341E-4</v>
      </c>
      <c r="K259">
        <f>(Datenabzug!K259/Datenabzug!K258-1)</f>
        <v>-3.9152082665686594E-3</v>
      </c>
    </row>
    <row r="260" spans="1:11">
      <c r="A260" s="1">
        <v>45670</v>
      </c>
      <c r="B260">
        <f>(Datenabzug!B260/Datenabzug!B259-1)</f>
        <v>-8.3139109057092098E-3</v>
      </c>
      <c r="C260">
        <f>(Datenabzug!C260/Datenabzug!C259-1)</f>
        <v>9.4973493101819795E-3</v>
      </c>
      <c r="D260">
        <f>(Datenabzug!D260/Datenabzug!D259-1)</f>
        <v>-4.2009930696901288E-3</v>
      </c>
      <c r="E260">
        <f>(Datenabzug!E260/Datenabzug!E259-1)</f>
        <v>3.1037443187329483E-3</v>
      </c>
      <c r="F260">
        <f>(Datenabzug!F260/Datenabzug!F259-1)</f>
        <v>1.2359673591694875E-2</v>
      </c>
      <c r="G260">
        <f>(Datenabzug!G260/Datenabzug!G259-1)</f>
        <v>-1.9719027246005494E-2</v>
      </c>
      <c r="H260">
        <f>(Datenabzug!H260/Datenabzug!H259-1)</f>
        <v>1.3039902967184824E-2</v>
      </c>
      <c r="I260">
        <f>(Datenabzug!I260/Datenabzug!I259-1)</f>
        <v>1.3658542712515542E-2</v>
      </c>
      <c r="J260">
        <f>(Datenabzug!J260/Datenabzug!J259-1)</f>
        <v>2.1710512074364807E-2</v>
      </c>
      <c r="K260">
        <f>(Datenabzug!K260/Datenabzug!K259-1)</f>
        <v>-5.3049135998375352E-3</v>
      </c>
    </row>
    <row r="261" spans="1:11">
      <c r="A261" s="1">
        <v>45671</v>
      </c>
      <c r="B261">
        <f>(Datenabzug!B261/Datenabzug!B260-1)</f>
        <v>-2.0812586617354079E-2</v>
      </c>
      <c r="C261">
        <f>(Datenabzug!C261/Datenabzug!C260-1)</f>
        <v>6.3259866219551597E-3</v>
      </c>
      <c r="D261">
        <f>(Datenabzug!D261/Datenabzug!D260-1)</f>
        <v>-3.6433796869980162E-3</v>
      </c>
      <c r="E261">
        <f>(Datenabzug!E261/Datenabzug!E260-1)</f>
        <v>-1.4149821995013689E-2</v>
      </c>
      <c r="F261">
        <f>(Datenabzug!F261/Datenabzug!F260-1)</f>
        <v>-1.2625031644770468E-2</v>
      </c>
      <c r="G261">
        <f>(Datenabzug!G261/Datenabzug!G260-1)</f>
        <v>-1.1033623094382827E-2</v>
      </c>
      <c r="H261">
        <f>(Datenabzug!H261/Datenabzug!H260-1)</f>
        <v>3.1141368025260352E-3</v>
      </c>
      <c r="I261">
        <f>(Datenabzug!I261/Datenabzug!I260-1)</f>
        <v>-4.7054310140939304E-3</v>
      </c>
      <c r="J261">
        <f>(Datenabzug!J261/Datenabzug!J260-1)</f>
        <v>-1.723243224592097E-2</v>
      </c>
      <c r="K261">
        <f>(Datenabzug!K261/Datenabzug!K260-1)</f>
        <v>6.3612306912534944E-3</v>
      </c>
    </row>
    <row r="262" spans="1:11">
      <c r="A262" s="1">
        <v>45672</v>
      </c>
      <c r="B262">
        <f>(Datenabzug!B262/Datenabzug!B261-1)</f>
        <v>-4.9096353924188429E-3</v>
      </c>
      <c r="C262">
        <f>(Datenabzug!C262/Datenabzug!C261-1)</f>
        <v>-4.3520704944979283E-3</v>
      </c>
      <c r="D262">
        <f>(Datenabzug!D262/Datenabzug!D261-1)</f>
        <v>2.5597138196983948E-2</v>
      </c>
      <c r="E262">
        <f>(Datenabzug!E262/Datenabzug!E261-1)</f>
        <v>2.3973907250437687E-2</v>
      </c>
      <c r="F262">
        <f>(Datenabzug!F262/Datenabzug!F261-1)</f>
        <v>-1.4049673633041992E-3</v>
      </c>
      <c r="G262">
        <f>(Datenabzug!G262/Datenabzug!G261-1)</f>
        <v>3.4001345204902389E-2</v>
      </c>
      <c r="H262">
        <f>(Datenabzug!H262/Datenabzug!H261-1)</f>
        <v>-1.1727517051787206E-3</v>
      </c>
      <c r="I262">
        <f>(Datenabzug!I262/Datenabzug!I261-1)</f>
        <v>1.0748492658807507E-4</v>
      </c>
      <c r="J262">
        <f>(Datenabzug!J262/Datenabzug!J261-1)</f>
        <v>8.0381514397529052E-2</v>
      </c>
      <c r="K262">
        <f>(Datenabzug!K262/Datenabzug!K261-1)</f>
        <v>3.5118962054370151E-4</v>
      </c>
    </row>
    <row r="263" spans="1:11">
      <c r="A263" s="1">
        <v>45673</v>
      </c>
      <c r="B263">
        <f>(Datenabzug!B263/Datenabzug!B262-1)</f>
        <v>1.6425967374651629E-2</v>
      </c>
      <c r="C263">
        <f>(Datenabzug!C263/Datenabzug!C262-1)</f>
        <v>7.7708543121615126E-3</v>
      </c>
      <c r="D263">
        <f>(Datenabzug!D263/Datenabzug!D262-1)</f>
        <v>-4.0581139859199311E-3</v>
      </c>
      <c r="E263">
        <f>(Datenabzug!E263/Datenabzug!E262-1)</f>
        <v>-6.9436429639838648E-3</v>
      </c>
      <c r="F263">
        <f>(Datenabzug!F263/Datenabzug!F262-1)</f>
        <v>5.6282107383776037E-4</v>
      </c>
      <c r="G263">
        <f>(Datenabzug!G263/Datenabzug!G262-1)</f>
        <v>-1.9597781338440923E-2</v>
      </c>
      <c r="H263">
        <f>(Datenabzug!H263/Datenabzug!H262-1)</f>
        <v>1.2156310998021613E-2</v>
      </c>
      <c r="I263">
        <f>(Datenabzug!I263/Datenabzug!I262-1)</f>
        <v>1.4503677166248341E-2</v>
      </c>
      <c r="J263">
        <f>(Datenabzug!J263/Datenabzug!J262-1)</f>
        <v>-3.3627560262098344E-2</v>
      </c>
      <c r="K263">
        <f>(Datenabzug!K263/Datenabzug!K262-1)</f>
        <v>2.7987842369256999E-2</v>
      </c>
    </row>
    <row r="264" spans="1:11">
      <c r="A264" s="1">
        <v>45674</v>
      </c>
      <c r="B264">
        <f>(Datenabzug!B264/Datenabzug!B263-1)</f>
        <v>1.2786383447340732E-2</v>
      </c>
      <c r="C264">
        <f>(Datenabzug!C264/Datenabzug!C263-1)</f>
        <v>7.3895075669760946E-3</v>
      </c>
      <c r="D264">
        <f>(Datenabzug!D264/Datenabzug!D263-1)</f>
        <v>1.04810095017418E-2</v>
      </c>
      <c r="E264">
        <f>(Datenabzug!E264/Datenabzug!E263-1)</f>
        <v>1.8673481439188455E-2</v>
      </c>
      <c r="F264">
        <f>(Datenabzug!F264/Datenabzug!F263-1)</f>
        <v>-3.7969595449423021E-3</v>
      </c>
      <c r="G264">
        <f>(Datenabzug!G264/Datenabzug!G263-1)</f>
        <v>3.099495431507937E-2</v>
      </c>
      <c r="H264">
        <f>(Datenabzug!H264/Datenabzug!H263-1)</f>
        <v>1.166919423628876E-2</v>
      </c>
      <c r="I264">
        <f>(Datenabzug!I264/Datenabzug!I263-1)</f>
        <v>7.4128834649924702E-3</v>
      </c>
      <c r="J264">
        <f>(Datenabzug!J264/Datenabzug!J263-1)</f>
        <v>3.0641323404761112E-2</v>
      </c>
      <c r="K264">
        <f>(Datenabzug!K264/Datenabzug!K263-1)</f>
        <v>-4.5635755151524071E-3</v>
      </c>
    </row>
    <row r="265" spans="1:11">
      <c r="A265" s="1">
        <v>45678</v>
      </c>
      <c r="B265">
        <f>(Datenabzug!B265/Datenabzug!B264-1)</f>
        <v>2.6126607729157314E-2</v>
      </c>
      <c r="C265">
        <f>(Datenabzug!C265/Datenabzug!C264-1)</f>
        <v>-4.6245175401246064E-3</v>
      </c>
      <c r="D265">
        <f>(Datenabzug!D265/Datenabzug!D264-1)</f>
        <v>-1.2353073401807357E-3</v>
      </c>
      <c r="E265">
        <f>(Datenabzug!E265/Datenabzug!E264-1)</f>
        <v>1.3494950960623031E-2</v>
      </c>
      <c r="F265">
        <f>(Datenabzug!F265/Datenabzug!F264-1)</f>
        <v>3.2891043555728583E-2</v>
      </c>
      <c r="G265">
        <f>(Datenabzug!G265/Datenabzug!G264-1)</f>
        <v>2.2656271298536312E-2</v>
      </c>
      <c r="H265">
        <f>(Datenabzug!H265/Datenabzug!H264-1)</f>
        <v>2.023506307292644E-3</v>
      </c>
      <c r="I265">
        <f>(Datenabzug!I265/Datenabzug!I264-1)</f>
        <v>2.9959053583572315E-2</v>
      </c>
      <c r="J265">
        <f>(Datenabzug!J265/Datenabzug!J264-1)</f>
        <v>-5.6975209279764849E-3</v>
      </c>
      <c r="K265">
        <f>(Datenabzug!K265/Datenabzug!K264-1)</f>
        <v>5.7383512102195944E-3</v>
      </c>
    </row>
    <row r="266" spans="1:11">
      <c r="A266" s="1">
        <v>45679</v>
      </c>
      <c r="B266">
        <f>(Datenabzug!B266/Datenabzug!B265-1)</f>
        <v>-4.3289730998222753E-3</v>
      </c>
      <c r="C266">
        <f>(Datenabzug!C266/Datenabzug!C265-1)</f>
        <v>-1.0253100616319344E-2</v>
      </c>
      <c r="D266">
        <f>(Datenabzug!D266/Datenabzug!D265-1)</f>
        <v>4.1306864392528286E-2</v>
      </c>
      <c r="E266">
        <f>(Datenabzug!E266/Datenabzug!E265-1)</f>
        <v>9.6943701440335373E-2</v>
      </c>
      <c r="F266">
        <f>(Datenabzug!F266/Datenabzug!F265-1)</f>
        <v>1.189018620257376E-2</v>
      </c>
      <c r="G266">
        <f>(Datenabzug!G266/Datenabzug!G265-1)</f>
        <v>4.4308890007471957E-2</v>
      </c>
      <c r="H266">
        <f>(Datenabzug!H266/Datenabzug!H265-1)</f>
        <v>-3.0964928868292274E-3</v>
      </c>
      <c r="I266">
        <f>(Datenabzug!I266/Datenabzug!I265-1)</f>
        <v>-2.5515189946365702E-3</v>
      </c>
      <c r="J266">
        <f>(Datenabzug!J266/Datenabzug!J265-1)</f>
        <v>-2.1128638710366854E-2</v>
      </c>
      <c r="K266">
        <f>(Datenabzug!K266/Datenabzug!K265-1)</f>
        <v>-5.643554631360459E-3</v>
      </c>
    </row>
    <row r="267" spans="1:11">
      <c r="A267" s="1">
        <v>45680</v>
      </c>
      <c r="B267">
        <f>(Datenabzug!B267/Datenabzug!B266-1)</f>
        <v>2.116703022680988E-2</v>
      </c>
      <c r="C267">
        <f>(Datenabzug!C267/Datenabzug!C266-1)</f>
        <v>-4.0466400052123763E-3</v>
      </c>
      <c r="D267">
        <f>(Datenabzug!D267/Datenabzug!D266-1)</f>
        <v>1.1429388254817763E-3</v>
      </c>
      <c r="E267">
        <f>(Datenabzug!E267/Datenabzug!E266-1)</f>
        <v>3.2358824970063926E-2</v>
      </c>
      <c r="F267">
        <f>(Datenabzug!F267/Datenabzug!F266-1)</f>
        <v>3.3765792920648074E-3</v>
      </c>
      <c r="G267">
        <f>(Datenabzug!G267/Datenabzug!G266-1)</f>
        <v>1.0198379653032497E-3</v>
      </c>
      <c r="H267">
        <f>(Datenabzug!H267/Datenabzug!H266-1)</f>
        <v>3.5788005537800149E-3</v>
      </c>
      <c r="I267">
        <f>(Datenabzug!I267/Datenabzug!I266-1)</f>
        <v>2.6602475889327959E-3</v>
      </c>
      <c r="J267">
        <f>(Datenabzug!J267/Datenabzug!J266-1)</f>
        <v>-6.5765232470569313E-3</v>
      </c>
      <c r="K267">
        <f>(Datenabzug!K267/Datenabzug!K266-1)</f>
        <v>-5.2078123694350165E-3</v>
      </c>
    </row>
    <row r="268" spans="1:11">
      <c r="A268" s="1">
        <v>45681</v>
      </c>
      <c r="B268">
        <f>(Datenabzug!B268/Datenabzug!B267-1)</f>
        <v>-1.3669481464464894E-2</v>
      </c>
      <c r="C268">
        <f>(Datenabzug!C268/Datenabzug!C267-1)</f>
        <v>6.3383875344897866E-3</v>
      </c>
      <c r="D268">
        <f>(Datenabzug!D268/Datenabzug!D267-1)</f>
        <v>-5.9322175124481014E-3</v>
      </c>
      <c r="E268">
        <f>(Datenabzug!E268/Datenabzug!E267-1)</f>
        <v>-7.3817178118968929E-3</v>
      </c>
      <c r="F268">
        <f>(Datenabzug!F268/Datenabzug!F267-1)</f>
        <v>-9.6917774343890928E-3</v>
      </c>
      <c r="G268">
        <f>(Datenabzug!G268/Datenabzug!G267-1)</f>
        <v>-3.1245863202497337E-2</v>
      </c>
      <c r="H268">
        <f>(Datenabzug!H268/Datenabzug!H267-1)</f>
        <v>3.3643590717427063E-3</v>
      </c>
      <c r="I268">
        <f>(Datenabzug!I268/Datenabzug!I267-1)</f>
        <v>8.3682364599129144E-3</v>
      </c>
      <c r="J268">
        <f>(Datenabzug!J268/Datenabzug!J267-1)</f>
        <v>-1.4064741844588724E-2</v>
      </c>
      <c r="K268">
        <f>(Datenabzug!K268/Datenabzug!K267-1)</f>
        <v>1.0564253366192045E-2</v>
      </c>
    </row>
    <row r="269" spans="1:11">
      <c r="A269" s="1">
        <v>45684</v>
      </c>
      <c r="B269">
        <f>(Datenabzug!B269/Datenabzug!B268-1)</f>
        <v>-5.1118590762474492E-3</v>
      </c>
      <c r="C269">
        <f>(Datenabzug!C269/Datenabzug!C268-1)</f>
        <v>3.1492264596175046E-2</v>
      </c>
      <c r="D269">
        <f>(Datenabzug!D269/Datenabzug!D268-1)</f>
        <v>-2.139352196505484E-2</v>
      </c>
      <c r="E269">
        <f>(Datenabzug!E269/Datenabzug!E268-1)</f>
        <v>-5.8306775339819206E-3</v>
      </c>
      <c r="F269">
        <f>(Datenabzug!F269/Datenabzug!F268-1)</f>
        <v>2.7320865544224748E-2</v>
      </c>
      <c r="G269">
        <f>(Datenabzug!G269/Datenabzug!G268-1)</f>
        <v>-0.16968160779263697</v>
      </c>
      <c r="H269">
        <f>(Datenabzug!H269/Datenabzug!H268-1)</f>
        <v>3.6816023307174817E-2</v>
      </c>
      <c r="I269">
        <f>(Datenabzug!I269/Datenabzug!I268-1)</f>
        <v>1.2245703355931337E-2</v>
      </c>
      <c r="J269">
        <f>(Datenabzug!J269/Datenabzug!J268-1)</f>
        <v>-2.3193450212052991E-2</v>
      </c>
      <c r="K269">
        <f>(Datenabzug!K269/Datenabzug!K268-1)</f>
        <v>2.1931268207703747E-2</v>
      </c>
    </row>
    <row r="270" spans="1:11">
      <c r="A270" s="1">
        <v>45685</v>
      </c>
      <c r="B270">
        <f>(Datenabzug!B270/Datenabzug!B269-1)</f>
        <v>1.4957724722597376E-2</v>
      </c>
      <c r="C270">
        <f>(Datenabzug!C270/Datenabzug!C269-1)</f>
        <v>-2.364173186836771E-2</v>
      </c>
      <c r="D270">
        <f>(Datenabzug!D270/Datenabzug!D269-1)</f>
        <v>2.9086948475955943E-2</v>
      </c>
      <c r="E270">
        <f>(Datenabzug!E270/Datenabzug!E269-1)</f>
        <v>-6.173286862687366E-5</v>
      </c>
      <c r="F270">
        <f>(Datenabzug!F270/Datenabzug!F269-1)</f>
        <v>-1.5744938652687668E-2</v>
      </c>
      <c r="G270">
        <f>(Datenabzug!G270/Datenabzug!G269-1)</f>
        <v>8.9258672620297075E-2</v>
      </c>
      <c r="H270">
        <f>(Datenabzug!H270/Datenabzug!H269-1)</f>
        <v>-2.8200015078446272E-2</v>
      </c>
      <c r="I270">
        <f>(Datenabzug!I270/Datenabzug!I269-1)</f>
        <v>3.8993195807819347E-3</v>
      </c>
      <c r="J270">
        <f>(Datenabzug!J270/Datenabzug!J269-1)</f>
        <v>2.3668700890149275E-3</v>
      </c>
      <c r="K270">
        <f>(Datenabzug!K270/Datenabzug!K269-1)</f>
        <v>-1.0229378150182877E-2</v>
      </c>
    </row>
    <row r="271" spans="1:11">
      <c r="A271" s="1">
        <v>45686</v>
      </c>
      <c r="B271">
        <f>(Datenabzug!B271/Datenabzug!B270-1)</f>
        <v>-2.3174683009767216E-2</v>
      </c>
      <c r="C271">
        <f>(Datenabzug!C271/Datenabzug!C270-1)</f>
        <v>7.5369026905935943E-3</v>
      </c>
      <c r="D271">
        <f>(Datenabzug!D271/Datenabzug!D270-1)</f>
        <v>-1.0890051581317617E-2</v>
      </c>
      <c r="E271">
        <f>(Datenabzug!E271/Datenabzug!E270-1)</f>
        <v>6.50320242540392E-3</v>
      </c>
      <c r="F271">
        <f>(Datenabzug!F271/Datenabzug!F270-1)</f>
        <v>2.9439475670463455E-2</v>
      </c>
      <c r="G271">
        <f>(Datenabzug!G271/Datenabzug!G270-1)</f>
        <v>-4.1011047517637067E-2</v>
      </c>
      <c r="H271">
        <f>(Datenabzug!H271/Datenabzug!H270-1)</f>
        <v>7.9858702920754254E-4</v>
      </c>
      <c r="I271">
        <f>(Datenabzug!I271/Datenabzug!I270-1)</f>
        <v>8.1366397125545165E-2</v>
      </c>
      <c r="J271">
        <f>(Datenabzug!J271/Datenabzug!J270-1)</f>
        <v>-2.2582808704252111E-2</v>
      </c>
      <c r="K271">
        <f>(Datenabzug!K271/Datenabzug!K270-1)</f>
        <v>-4.6923215008349839E-3</v>
      </c>
    </row>
    <row r="272" spans="1:11">
      <c r="A272" s="1">
        <v>45687</v>
      </c>
      <c r="B272">
        <f>(Datenabzug!B272/Datenabzug!B271-1)</f>
        <v>3.3801652616616717E-2</v>
      </c>
      <c r="C272">
        <f>(Datenabzug!C272/Datenabzug!C271-1)</f>
        <v>1.9417500845579694E-2</v>
      </c>
      <c r="D272">
        <f>(Datenabzug!D272/Datenabzug!D271-1)</f>
        <v>-6.1809060156633233E-2</v>
      </c>
      <c r="E272">
        <f>(Datenabzug!E272/Datenabzug!E271-1)</f>
        <v>-5.0197148260854307E-3</v>
      </c>
      <c r="F272">
        <f>(Datenabzug!F272/Datenabzug!F271-1)</f>
        <v>2.285199649430969E-2</v>
      </c>
      <c r="G272">
        <f>(Datenabzug!G272/Datenabzug!G271-1)</f>
        <v>7.6798522286369852E-3</v>
      </c>
      <c r="H272">
        <f>(Datenabzug!H272/Datenabzug!H271-1)</f>
        <v>1.0174946611876567E-2</v>
      </c>
      <c r="I272">
        <f>(Datenabzug!I272/Datenabzug!I271-1)</f>
        <v>3.8680935286086182E-3</v>
      </c>
      <c r="J272">
        <f>(Datenabzug!J272/Datenabzug!J271-1)</f>
        <v>2.8732954254456544E-2</v>
      </c>
      <c r="K272">
        <f>(Datenabzug!K272/Datenabzug!K271-1)</f>
        <v>1.6300049227002011E-2</v>
      </c>
    </row>
    <row r="273" spans="1:11">
      <c r="A273" s="1">
        <v>45688</v>
      </c>
      <c r="B273">
        <f>(Datenabzug!B273/Datenabzug!B272-1)</f>
        <v>-1.6765969627930088E-2</v>
      </c>
      <c r="C273">
        <f>(Datenabzug!C273/Datenabzug!C272-1)</f>
        <v>-8.8993374425416771E-3</v>
      </c>
      <c r="D273">
        <f>(Datenabzug!D273/Datenabzug!D272-1)</f>
        <v>1.6868060979935429E-4</v>
      </c>
      <c r="E273">
        <f>(Datenabzug!E273/Datenabzug!E272-1)</f>
        <v>3.6168052757494795E-3</v>
      </c>
      <c r="F273">
        <f>(Datenabzug!F273/Datenabzug!F272-1)</f>
        <v>-1.8256201140550155E-2</v>
      </c>
      <c r="G273">
        <f>(Datenabzug!G273/Datenabzug!G272-1)</f>
        <v>-3.6742828664982574E-2</v>
      </c>
      <c r="H273">
        <f>(Datenabzug!H273/Datenabzug!H272-1)</f>
        <v>-7.9657192327271531E-3</v>
      </c>
      <c r="I273">
        <f>(Datenabzug!I273/Datenabzug!I272-1)</f>
        <v>-1.2110083420799223E-2</v>
      </c>
      <c r="J273">
        <f>(Datenabzug!J273/Datenabzug!J272-1)</f>
        <v>1.0792463618950254E-2</v>
      </c>
      <c r="K273">
        <f>(Datenabzug!K273/Datenabzug!K272-1)</f>
        <v>-7.8830703642462918E-4</v>
      </c>
    </row>
    <row r="274" spans="1:11">
      <c r="A274" s="1">
        <v>45691</v>
      </c>
      <c r="B274">
        <f>(Datenabzug!B274/Datenabzug!B273-1)</f>
        <v>-3.6823540649235653E-3</v>
      </c>
      <c r="C274">
        <f>(Datenabzug!C274/Datenabzug!C273-1)</f>
        <v>-2.0479347567772255E-3</v>
      </c>
      <c r="D274">
        <f>(Datenabzug!D274/Datenabzug!D273-1)</f>
        <v>-9.9743914424776925E-3</v>
      </c>
      <c r="E274">
        <f>(Datenabzug!E274/Datenabzug!E273-1)</f>
        <v>2.231861106090971E-3</v>
      </c>
      <c r="F274">
        <f>(Datenabzug!F274/Datenabzug!F273-1)</f>
        <v>-4.0312287985589945E-3</v>
      </c>
      <c r="G274">
        <f>(Datenabzug!G274/Datenabzug!G273-1)</f>
        <v>-2.8400075626255461E-2</v>
      </c>
      <c r="H274">
        <f>(Datenabzug!H274/Datenabzug!H273-1)</f>
        <v>-2.7870998391502644E-3</v>
      </c>
      <c r="I274">
        <f>(Datenabzug!I274/Datenabzug!I273-1)</f>
        <v>4.4576883322762217E-3</v>
      </c>
      <c r="J274">
        <f>(Datenabzug!J274/Datenabzug!J273-1)</f>
        <v>-5.1705420445252503E-2</v>
      </c>
      <c r="K274">
        <f>(Datenabzug!K274/Datenabzug!K273-1)</f>
        <v>3.3376975419063815E-3</v>
      </c>
    </row>
    <row r="275" spans="1:11">
      <c r="A275" s="1">
        <v>45692</v>
      </c>
      <c r="B275">
        <f>(Datenabzug!B275/Datenabzug!B274-1)</f>
        <v>2.0469700366576582E-3</v>
      </c>
      <c r="C275">
        <f>(Datenabzug!C275/Datenabzug!C274-1)</f>
        <v>-1.0734026901321192E-2</v>
      </c>
      <c r="D275">
        <f>(Datenabzug!D275/Datenabzug!D274-1)</f>
        <v>3.5286205487510269E-3</v>
      </c>
      <c r="E275">
        <f>(Datenabzug!E275/Datenabzug!E274-1)</f>
        <v>1.6272695605504595E-2</v>
      </c>
      <c r="F275">
        <f>(Datenabzug!F275/Datenabzug!F274-1)</f>
        <v>1.6973869996010915E-3</v>
      </c>
      <c r="G275">
        <f>(Datenabzug!G275/Datenabzug!G274-1)</f>
        <v>1.7058105260512102E-2</v>
      </c>
      <c r="H275">
        <f>(Datenabzug!H275/Datenabzug!H274-1)</f>
        <v>-4.5118818273458206E-2</v>
      </c>
      <c r="I275">
        <f>(Datenabzug!I275/Datenabzug!I274-1)</f>
        <v>2.2559126960034481E-2</v>
      </c>
      <c r="J275">
        <f>(Datenabzug!J275/Datenabzug!J274-1)</f>
        <v>2.2232065633156495E-2</v>
      </c>
      <c r="K275">
        <f>(Datenabzug!K275/Datenabzug!K274-1)</f>
        <v>-3.1330396410344963E-2</v>
      </c>
    </row>
    <row r="276" spans="1:11">
      <c r="A276" s="1">
        <v>45693</v>
      </c>
      <c r="B276">
        <f>(Datenabzug!B276/Datenabzug!B275-1)</f>
        <v>3.1833403769834678E-2</v>
      </c>
      <c r="C276">
        <f>(Datenabzug!C276/Datenabzug!C275-1)</f>
        <v>7.1804728487794289E-3</v>
      </c>
      <c r="D276">
        <f>(Datenabzug!D276/Datenabzug!D275-1)</f>
        <v>2.2309986607027543E-3</v>
      </c>
      <c r="E276">
        <f>(Datenabzug!E276/Datenabzug!E275-1)</f>
        <v>1.632373105438778E-2</v>
      </c>
      <c r="F276">
        <f>(Datenabzug!F276/Datenabzug!F275-1)</f>
        <v>-2.8024020560306506E-2</v>
      </c>
      <c r="G276">
        <f>(Datenabzug!G276/Datenabzug!G275-1)</f>
        <v>5.2085952040051176E-2</v>
      </c>
      <c r="H276">
        <f>(Datenabzug!H276/Datenabzug!H275-1)</f>
        <v>1.5122918451243583E-2</v>
      </c>
      <c r="I276">
        <f>(Datenabzug!I276/Datenabzug!I275-1)</f>
        <v>1.4918580493896938E-2</v>
      </c>
      <c r="J276">
        <f>(Datenabzug!J276/Datenabzug!J275-1)</f>
        <v>-3.5797094243459893E-2</v>
      </c>
      <c r="K276">
        <f>(Datenabzug!K276/Datenabzug!K275-1)</f>
        <v>1.0614573962424156E-3</v>
      </c>
    </row>
    <row r="277" spans="1:11">
      <c r="A277" s="1">
        <v>45694</v>
      </c>
      <c r="B277">
        <f>(Datenabzug!B277/Datenabzug!B276-1)</f>
        <v>1.6278083884069039E-2</v>
      </c>
      <c r="C277">
        <f>(Datenabzug!C277/Datenabzug!C276-1)</f>
        <v>3.8022955900531841E-3</v>
      </c>
      <c r="D277">
        <f>(Datenabzug!D277/Datenabzug!D276-1)</f>
        <v>6.1216446533003399E-3</v>
      </c>
      <c r="E277">
        <f>(Datenabzug!E277/Datenabzug!E276-1)</f>
        <v>4.5197924957995905E-3</v>
      </c>
      <c r="F277">
        <f>(Datenabzug!F277/Datenabzug!F276-1)</f>
        <v>-3.7950888644068259E-2</v>
      </c>
      <c r="G277">
        <f>(Datenabzug!G277/Datenabzug!G276-1)</f>
        <v>3.0841776709044977E-2</v>
      </c>
      <c r="H277">
        <f>(Datenabzug!H277/Datenabzug!H276-1)</f>
        <v>-2.1281860555364407E-3</v>
      </c>
      <c r="I277">
        <f>(Datenabzug!I277/Datenabzug!I276-1)</f>
        <v>-4.899762660976581E-3</v>
      </c>
      <c r="J277">
        <f>(Datenabzug!J277/Datenabzug!J276-1)</f>
        <v>-1.0180622383619164E-2</v>
      </c>
      <c r="K277">
        <f>(Datenabzug!K277/Datenabzug!K276-1)</f>
        <v>1.9522953069808224E-2</v>
      </c>
    </row>
    <row r="278" spans="1:11">
      <c r="A278" s="1">
        <v>45695</v>
      </c>
      <c r="B278">
        <f>(Datenabzug!B278/Datenabzug!B277-1)</f>
        <v>-1.7911241904395192E-2</v>
      </c>
      <c r="C278">
        <f>(Datenabzug!C278/Datenabzug!C277-1)</f>
        <v>7.5757858031559877E-3</v>
      </c>
      <c r="D278">
        <f>(Datenabzug!D278/Datenabzug!D277-1)</f>
        <v>-1.4597663592885057E-2</v>
      </c>
      <c r="E278">
        <f>(Datenabzug!E278/Datenabzug!E277-1)</f>
        <v>-1.7229836293118916E-3</v>
      </c>
      <c r="F278">
        <f>(Datenabzug!F278/Datenabzug!F277-1)</f>
        <v>-4.2654025376404392E-2</v>
      </c>
      <c r="G278">
        <f>(Datenabzug!G278/Datenabzug!G277-1)</f>
        <v>9.0146718201618015E-3</v>
      </c>
      <c r="H278">
        <f>(Datenabzug!H278/Datenabzug!H277-1)</f>
        <v>-5.297496331516216E-3</v>
      </c>
      <c r="I278">
        <f>(Datenabzug!I278/Datenabzug!I277-1)</f>
        <v>4.4762371668516376E-3</v>
      </c>
      <c r="J278">
        <f>(Datenabzug!J278/Datenabzug!J277-1)</f>
        <v>-3.3928221731495345E-2</v>
      </c>
      <c r="K278">
        <f>(Datenabzug!K278/Datenabzug!K277-1)</f>
        <v>-3.4259784351823308E-3</v>
      </c>
    </row>
    <row r="279" spans="1:11">
      <c r="A279" s="1">
        <v>45698</v>
      </c>
      <c r="B279">
        <f>(Datenabzug!B279/Datenabzug!B278-1)</f>
        <v>-5.1793620197031487E-3</v>
      </c>
      <c r="C279">
        <f>(Datenabzug!C279/Datenabzug!C278-1)</f>
        <v>1.1121526811389115E-2</v>
      </c>
      <c r="D279">
        <f>(Datenabzug!D279/Datenabzug!D278-1)</f>
        <v>6.027992716405306E-3</v>
      </c>
      <c r="E279">
        <f>(Datenabzug!E279/Datenabzug!E278-1)</f>
        <v>1.3482176293132975E-2</v>
      </c>
      <c r="F279">
        <f>(Datenabzug!F279/Datenabzug!F278-1)</f>
        <v>3.2906205093035101E-2</v>
      </c>
      <c r="G279">
        <f>(Datenabzug!G279/Datenabzug!G278-1)</f>
        <v>2.8727805712864374E-2</v>
      </c>
      <c r="H279">
        <f>(Datenabzug!H279/Datenabzug!H278-1)</f>
        <v>-1.5908130465851489E-3</v>
      </c>
      <c r="I279">
        <f>(Datenabzug!I279/Datenabzug!I278-1)</f>
        <v>-6.6845034840448125E-3</v>
      </c>
      <c r="J279">
        <f>(Datenabzug!J279/Datenabzug!J278-1)</f>
        <v>-3.0114441341469345E-2</v>
      </c>
      <c r="K279">
        <f>(Datenabzug!K279/Datenabzug!K278-1)</f>
        <v>-1.8724931556243218E-3</v>
      </c>
    </row>
    <row r="280" spans="1:11">
      <c r="A280" s="1">
        <v>45699</v>
      </c>
      <c r="B280">
        <f>(Datenabzug!B280/Datenabzug!B279-1)</f>
        <v>-6.0925288558133506E-4</v>
      </c>
      <c r="C280">
        <f>(Datenabzug!C280/Datenabzug!C279-1)</f>
        <v>4.7250197270781946E-2</v>
      </c>
      <c r="D280">
        <f>(Datenabzug!D280/Datenabzug!D279-1)</f>
        <v>-1.892182390598407E-3</v>
      </c>
      <c r="E280">
        <f>(Datenabzug!E280/Datenabzug!E279-1)</f>
        <v>-1.8995678240416369E-2</v>
      </c>
      <c r="F280">
        <f>(Datenabzug!F280/Datenabzug!F279-1)</f>
        <v>5.6385248565700152E-3</v>
      </c>
      <c r="G280">
        <f>(Datenabzug!G280/Datenabzug!G279-1)</f>
        <v>-5.764701594367927E-3</v>
      </c>
      <c r="H280">
        <f>(Datenabzug!H280/Datenabzug!H279-1)</f>
        <v>8.9365042452465016E-3</v>
      </c>
      <c r="I280">
        <f>(Datenabzug!I280/Datenabzug!I279-1)</f>
        <v>-3.7684848618424471E-3</v>
      </c>
      <c r="J280">
        <f>(Datenabzug!J280/Datenabzug!J279-1)</f>
        <v>-6.3382118125028586E-2</v>
      </c>
      <c r="K280">
        <f>(Datenabzug!K280/Datenabzug!K279-1)</f>
        <v>-1.8297453087107951E-2</v>
      </c>
    </row>
    <row r="281" spans="1:11">
      <c r="A281" s="1">
        <v>45700</v>
      </c>
      <c r="B281">
        <f>(Datenabzug!B281/Datenabzug!B280-1)</f>
        <v>3.219905497662956E-2</v>
      </c>
      <c r="C281">
        <f>(Datenabzug!C281/Datenabzug!C280-1)</f>
        <v>1.6420057789205522E-2</v>
      </c>
      <c r="D281">
        <f>(Datenabzug!D281/Datenabzug!D280-1)</f>
        <v>-5.8331713876603741E-3</v>
      </c>
      <c r="E281">
        <f>(Datenabzug!E281/Datenabzug!E280-1)</f>
        <v>1.9075907842537987E-2</v>
      </c>
      <c r="F281">
        <f>(Datenabzug!F281/Datenabzug!F280-1)</f>
        <v>1.2896109754346075E-2</v>
      </c>
      <c r="G281">
        <f>(Datenabzug!G281/Datenabzug!G280-1)</f>
        <v>-1.2500090498761884E-2</v>
      </c>
      <c r="H281">
        <f>(Datenabzug!H281/Datenabzug!H280-1)</f>
        <v>-1.1329159297560065E-2</v>
      </c>
      <c r="I281">
        <f>(Datenabzug!I281/Datenabzug!I280-1)</f>
        <v>1.8103232416435411E-2</v>
      </c>
      <c r="J281">
        <f>(Datenabzug!J281/Datenabzug!J280-1)</f>
        <v>2.4383591371765601E-2</v>
      </c>
      <c r="K281">
        <f>(Datenabzug!K281/Datenabzug!K280-1)</f>
        <v>-8.4582740371286214E-4</v>
      </c>
    </row>
    <row r="282" spans="1:11">
      <c r="A282" s="1">
        <v>45701</v>
      </c>
      <c r="B282">
        <f>(Datenabzug!B282/Datenabzug!B281-1)</f>
        <v>-4.3489801803705541E-3</v>
      </c>
      <c r="C282">
        <f>(Datenabzug!C282/Datenabzug!C281-1)</f>
        <v>1.1497747685585979E-2</v>
      </c>
      <c r="D282">
        <f>(Datenabzug!D282/Datenabzug!D281-1)</f>
        <v>3.6671417983451526E-3</v>
      </c>
      <c r="E282">
        <f>(Datenabzug!E282/Datenabzug!E281-1)</f>
        <v>1.594443924254163E-2</v>
      </c>
      <c r="F282">
        <f>(Datenabzug!F282/Datenabzug!F281-1)</f>
        <v>1.3146921572784853E-2</v>
      </c>
      <c r="G282">
        <f>(Datenabzug!G282/Datenabzug!G281-1)</f>
        <v>3.1645510696844292E-2</v>
      </c>
      <c r="H282">
        <f>(Datenabzug!H282/Datenabzug!H281-1)</f>
        <v>4.0974645566744794E-3</v>
      </c>
      <c r="I282">
        <f>(Datenabzug!I282/Datenabzug!I281-1)</f>
        <v>-3.5384852986963811E-4</v>
      </c>
      <c r="J282">
        <f>(Datenabzug!J282/Datenabzug!J281-1)</f>
        <v>5.7739716834318777E-2</v>
      </c>
      <c r="K282">
        <f>(Datenabzug!K282/Datenabzug!K281-1)</f>
        <v>1.0408817831976114E-2</v>
      </c>
    </row>
    <row r="283" spans="1:11">
      <c r="A283" s="1">
        <v>45702</v>
      </c>
      <c r="B283">
        <f>(Datenabzug!B283/Datenabzug!B282-1)</f>
        <v>-5.5004543735556188E-3</v>
      </c>
      <c r="C283">
        <f>(Datenabzug!C283/Datenabzug!C282-1)</f>
        <v>-9.064885549318169E-3</v>
      </c>
      <c r="D283">
        <f>(Datenabzug!D283/Datenabzug!D282-1)</f>
        <v>-5.1395965033180779E-3</v>
      </c>
      <c r="E283">
        <f>(Datenabzug!E283/Datenabzug!E282-1)</f>
        <v>1.4285884713606034E-2</v>
      </c>
      <c r="F283">
        <f>(Datenabzug!F283/Datenabzug!F282-1)</f>
        <v>-2.3221221142692983E-3</v>
      </c>
      <c r="G283">
        <f>(Datenabzug!G283/Datenabzug!G282-1)</f>
        <v>2.6313901490972347E-2</v>
      </c>
      <c r="H283">
        <f>(Datenabzug!H283/Datenabzug!H282-1)</f>
        <v>-8.2308079315246419E-3</v>
      </c>
      <c r="I283">
        <f>(Datenabzug!I283/Datenabzug!I282-1)</f>
        <v>1.423619936336884E-3</v>
      </c>
      <c r="J283">
        <f>(Datenabzug!J283/Datenabzug!J282-1)</f>
        <v>-2.8096337256300341E-4</v>
      </c>
      <c r="K283">
        <f>(Datenabzug!K283/Datenabzug!K282-1)</f>
        <v>-5.8335202410311204E-3</v>
      </c>
    </row>
    <row r="284" spans="1:11">
      <c r="A284" s="1">
        <v>45706</v>
      </c>
      <c r="B284">
        <f>(Datenabzug!B284/Datenabzug!B283-1)</f>
        <v>2.9823395359442895E-3</v>
      </c>
      <c r="C284">
        <f>(Datenabzug!C284/Datenabzug!C283-1)</f>
        <v>2.6137561618149174E-3</v>
      </c>
      <c r="D284">
        <f>(Datenabzug!D284/Datenabzug!D283-1)</f>
        <v>2.9626071543005228E-3</v>
      </c>
      <c r="E284">
        <f>(Datenabzug!E284/Datenabzug!E283-1)</f>
        <v>-2.149064852132454E-2</v>
      </c>
      <c r="F284">
        <f>(Datenabzug!F284/Datenabzug!F283-1)</f>
        <v>6.2294634640414515E-2</v>
      </c>
      <c r="G284">
        <f>(Datenabzug!G284/Datenabzug!G283-1)</f>
        <v>3.9611110103627833E-3</v>
      </c>
      <c r="H284">
        <f>(Datenabzug!H284/Datenabzug!H283-1)</f>
        <v>4.9515116100342649E-3</v>
      </c>
      <c r="I284">
        <f>(Datenabzug!I284/Datenabzug!I283-1)</f>
        <v>4.2647883712700896E-3</v>
      </c>
      <c r="J284">
        <f>(Datenabzug!J284/Datenabzug!J283-1)</f>
        <v>-4.8617665358934303E-3</v>
      </c>
      <c r="K284">
        <f>(Datenabzug!K284/Datenabzug!K283-1)</f>
        <v>5.8365195892449151E-3</v>
      </c>
    </row>
    <row r="285" spans="1:11">
      <c r="A285" s="1">
        <v>45707</v>
      </c>
      <c r="B285">
        <f>(Datenabzug!B285/Datenabzug!B284-1)</f>
        <v>6.3793732388695013E-3</v>
      </c>
      <c r="C285">
        <f>(Datenabzug!C285/Datenabzug!C284-1)</f>
        <v>1.4771775971561318E-2</v>
      </c>
      <c r="D285">
        <f>(Datenabzug!D285/Datenabzug!D284-1)</f>
        <v>1.2523114159080251E-2</v>
      </c>
      <c r="E285">
        <f>(Datenabzug!E285/Datenabzug!E284-1)</f>
        <v>7.221104064339956E-3</v>
      </c>
      <c r="F285">
        <f>(Datenabzug!F285/Datenabzug!F284-1)</f>
        <v>-1.0439459916924076E-2</v>
      </c>
      <c r="G285">
        <f>(Datenabzug!G285/Datenabzug!G284-1)</f>
        <v>-1.2195864266362211E-3</v>
      </c>
      <c r="H285">
        <f>(Datenabzug!H285/Datenabzug!H284-1)</f>
        <v>1.1866676948143695E-2</v>
      </c>
      <c r="I285">
        <f>(Datenabzug!I285/Datenabzug!I284-1)</f>
        <v>-4.7775543245014429E-3</v>
      </c>
      <c r="J285">
        <f>(Datenabzug!J285/Datenabzug!J284-1)</f>
        <v>1.82147142804443E-2</v>
      </c>
      <c r="K285">
        <f>(Datenabzug!K285/Datenabzug!K284-1)</f>
        <v>1.0426011349675246E-2</v>
      </c>
    </row>
    <row r="286" spans="1:11">
      <c r="A286" s="1">
        <v>45708</v>
      </c>
      <c r="B286">
        <f>(Datenabzug!B286/Datenabzug!B285-1)</f>
        <v>-2.8310444192668593E-2</v>
      </c>
      <c r="C286">
        <f>(Datenabzug!C286/Datenabzug!C285-1)</f>
        <v>-4.2805514278176915E-4</v>
      </c>
      <c r="D286">
        <f>(Datenabzug!D286/Datenabzug!D285-1)</f>
        <v>5.2907391605472309E-3</v>
      </c>
      <c r="E286">
        <f>(Datenabzug!E286/Datenabzug!E285-1)</f>
        <v>-1.8009563401432005E-2</v>
      </c>
      <c r="F286">
        <f>(Datenabzug!F286/Datenabzug!F285-1)</f>
        <v>5.8610072962239634E-3</v>
      </c>
      <c r="G286">
        <f>(Datenabzug!G286/Datenabzug!G285-1)</f>
        <v>6.3205461649826766E-3</v>
      </c>
      <c r="H286">
        <f>(Datenabzug!H286/Datenabzug!H285-1)</f>
        <v>2.2563807655083812E-2</v>
      </c>
      <c r="I286">
        <f>(Datenabzug!I286/Datenabzug!I285-1)</f>
        <v>7.5562707662912842E-3</v>
      </c>
      <c r="J286">
        <f>(Datenabzug!J286/Datenabzug!J285-1)</f>
        <v>-1.7084545439924992E-2</v>
      </c>
      <c r="K286">
        <f>(Datenabzug!K286/Datenabzug!K285-1)</f>
        <v>-2.7638857167872066E-3</v>
      </c>
    </row>
    <row r="287" spans="1:11">
      <c r="A287" s="1">
        <v>45709</v>
      </c>
      <c r="B287">
        <f>(Datenabzug!B287/Datenabzug!B286-1)</f>
        <v>-2.062146663886133E-2</v>
      </c>
      <c r="C287">
        <f>(Datenabzug!C287/Datenabzug!C286-1)</f>
        <v>1.8703466366484678E-2</v>
      </c>
      <c r="D287">
        <f>(Datenabzug!D287/Datenabzug!D286-1)</f>
        <v>-1.903258752394521E-2</v>
      </c>
      <c r="E287">
        <f>(Datenabzug!E287/Datenabzug!E286-1)</f>
        <v>-2.0877675671917006E-2</v>
      </c>
      <c r="F287">
        <f>(Datenabzug!F287/Datenabzug!F286-1)</f>
        <v>-9.4523620860460511E-3</v>
      </c>
      <c r="G287">
        <f>(Datenabzug!G287/Datenabzug!G286-1)</f>
        <v>-4.0539641186838282E-2</v>
      </c>
      <c r="H287">
        <f>(Datenabzug!H287/Datenabzug!H286-1)</f>
        <v>2.9510186043586017E-2</v>
      </c>
      <c r="I287">
        <f>(Datenabzug!I287/Datenabzug!I286-1)</f>
        <v>-1.4028613360357101E-2</v>
      </c>
      <c r="J287">
        <f>(Datenabzug!J287/Datenabzug!J286-1)</f>
        <v>-4.6839747148428645E-2</v>
      </c>
      <c r="K287">
        <f>(Datenabzug!K287/Datenabzug!K286-1)</f>
        <v>3.7571168436032476E-3</v>
      </c>
    </row>
    <row r="288" spans="1:11">
      <c r="A288" s="1">
        <v>45712</v>
      </c>
      <c r="B288">
        <f>(Datenabzug!B288/Datenabzug!B287-1)</f>
        <v>1.5580072597901395E-2</v>
      </c>
      <c r="C288">
        <f>(Datenabzug!C288/Datenabzug!C287-1)</f>
        <v>-1.0651730283744332E-2</v>
      </c>
      <c r="D288">
        <f>(Datenabzug!D288/Datenabzug!D287-1)</f>
        <v>-1.0313283396671036E-2</v>
      </c>
      <c r="E288">
        <f>(Datenabzug!E288/Datenabzug!E287-1)</f>
        <v>-1.4633956391028935E-2</v>
      </c>
      <c r="F288">
        <f>(Datenabzug!F288/Datenabzug!F287-1)</f>
        <v>4.9411688495538897E-2</v>
      </c>
      <c r="G288">
        <f>(Datenabzug!G288/Datenabzug!G287-1)</f>
        <v>-3.0871030093155172E-2</v>
      </c>
      <c r="H288">
        <f>(Datenabzug!H288/Datenabzug!H287-1)</f>
        <v>2.2802516580282539E-3</v>
      </c>
      <c r="I288">
        <f>(Datenabzug!I288/Datenabzug!I287-1)</f>
        <v>1.2885958255334451E-2</v>
      </c>
      <c r="J288">
        <f>(Datenabzug!J288/Datenabzug!J287-1)</f>
        <v>-2.1521578674915887E-2</v>
      </c>
      <c r="K288">
        <f>(Datenabzug!K288/Datenabzug!K287-1)</f>
        <v>6.9028356016966885E-3</v>
      </c>
    </row>
    <row r="289" spans="1:11">
      <c r="A289" s="1">
        <v>45713</v>
      </c>
      <c r="B289">
        <f>(Datenabzug!B289/Datenabzug!B288-1)</f>
        <v>-9.1156653674973054E-3</v>
      </c>
      <c r="C289">
        <f>(Datenabzug!C289/Datenabzug!C288-1)</f>
        <v>1.2749798459432027E-2</v>
      </c>
      <c r="D289">
        <f>(Datenabzug!D289/Datenabzug!D288-1)</f>
        <v>-1.5099046746813727E-2</v>
      </c>
      <c r="E289">
        <f>(Datenabzug!E289/Datenabzug!E288-1)</f>
        <v>-1.1360972818184711E-2</v>
      </c>
      <c r="F289">
        <f>(Datenabzug!F289/Datenabzug!F288-1)</f>
        <v>1.7937275782850648E-2</v>
      </c>
      <c r="G289">
        <f>(Datenabzug!G289/Datenabzug!G288-1)</f>
        <v>-2.8016604167535708E-2</v>
      </c>
      <c r="H289">
        <f>(Datenabzug!H289/Datenabzug!H288-1)</f>
        <v>1.6704538879507291E-2</v>
      </c>
      <c r="I289">
        <f>(Datenabzug!I289/Datenabzug!I288-1)</f>
        <v>1.2368514491976068E-2</v>
      </c>
      <c r="J289">
        <f>(Datenabzug!J289/Datenabzug!J288-1)</f>
        <v>-8.3895595222036379E-2</v>
      </c>
      <c r="K289">
        <f>(Datenabzug!K289/Datenabzug!K288-1)</f>
        <v>1.4076789527966538E-2</v>
      </c>
    </row>
    <row r="290" spans="1:11">
      <c r="A290" s="1">
        <v>45714</v>
      </c>
      <c r="B290">
        <f>(Datenabzug!B290/Datenabzug!B289-1)</f>
        <v>-2.9337582661044248E-2</v>
      </c>
      <c r="C290">
        <f>(Datenabzug!C290/Datenabzug!C289-1)</f>
        <v>-9.6516608277561478E-3</v>
      </c>
      <c r="D290">
        <f>(Datenabzug!D290/Datenabzug!D289-1)</f>
        <v>4.599179960434796E-3</v>
      </c>
      <c r="E290">
        <f>(Datenabzug!E290/Datenabzug!E289-1)</f>
        <v>1.3118586480628247E-2</v>
      </c>
      <c r="F290">
        <f>(Datenabzug!F290/Datenabzug!F289-1)</f>
        <v>-6.730388771716056E-3</v>
      </c>
      <c r="G290">
        <f>(Datenabzug!G290/Datenabzug!G289-1)</f>
        <v>3.6721251887926964E-2</v>
      </c>
      <c r="H290">
        <f>(Datenabzug!H290/Datenabzug!H289-1)</f>
        <v>-3.1389964098154644E-2</v>
      </c>
      <c r="I290">
        <f>(Datenabzug!I290/Datenabzug!I289-1)</f>
        <v>-1.3875516408685007E-2</v>
      </c>
      <c r="J290">
        <f>(Datenabzug!J290/Datenabzug!J289-1)</f>
        <v>-3.9630120487999188E-2</v>
      </c>
      <c r="K290">
        <f>(Datenabzug!K290/Datenabzug!K289-1)</f>
        <v>1.0576187328735331E-2</v>
      </c>
    </row>
    <row r="291" spans="1:11">
      <c r="A291" s="1">
        <v>45715</v>
      </c>
      <c r="B291">
        <f>(Datenabzug!B291/Datenabzug!B290-1)</f>
        <v>4.5654679587030511E-3</v>
      </c>
      <c r="C291">
        <f>(Datenabzug!C291/Datenabzug!C290-1)</f>
        <v>9.8864268968545943E-4</v>
      </c>
      <c r="D291">
        <f>(Datenabzug!D291/Datenabzug!D290-1)</f>
        <v>-1.8012138270736E-2</v>
      </c>
      <c r="E291">
        <f>(Datenabzug!E291/Datenabzug!E290-1)</f>
        <v>-2.7260964285932276E-2</v>
      </c>
      <c r="F291">
        <f>(Datenabzug!F291/Datenabzug!F290-1)</f>
        <v>-1.4167831517452378E-2</v>
      </c>
      <c r="G291">
        <f>(Datenabzug!G291/Datenabzug!G290-1)</f>
        <v>-8.4780679962682015E-2</v>
      </c>
      <c r="H291">
        <f>(Datenabzug!H291/Datenabzug!H290-1)</f>
        <v>3.3662321270333528E-3</v>
      </c>
      <c r="I291">
        <f>(Datenabzug!I291/Datenabzug!I290-1)</f>
        <v>1.3185838583970044E-2</v>
      </c>
      <c r="J291">
        <f>(Datenabzug!J291/Datenabzug!J290-1)</f>
        <v>-3.0433204805488612E-2</v>
      </c>
      <c r="K291">
        <f>(Datenabzug!K291/Datenabzug!K290-1)</f>
        <v>-3.1217640376032252E-3</v>
      </c>
    </row>
    <row r="292" spans="1:11">
      <c r="A292" s="1">
        <v>45716</v>
      </c>
      <c r="B292">
        <f>(Datenabzug!B292/Datenabzug!B291-1)</f>
        <v>4.6022150568434395E-3</v>
      </c>
      <c r="C292">
        <f>(Datenabzug!C292/Datenabzug!C291-1)</f>
        <v>4.7975480800581671E-3</v>
      </c>
      <c r="D292">
        <f>(Datenabzug!D292/Datenabzug!D291-1)</f>
        <v>1.1362152055172992E-2</v>
      </c>
      <c r="E292">
        <f>(Datenabzug!E292/Datenabzug!E291-1)</f>
        <v>1.8160663400752064E-2</v>
      </c>
      <c r="F292">
        <f>(Datenabzug!F292/Datenabzug!F291-1)</f>
        <v>-7.3730530028502939E-3</v>
      </c>
      <c r="G292">
        <f>(Datenabzug!G292/Datenabzug!G291-1)</f>
        <v>3.9700340898145114E-2</v>
      </c>
      <c r="H292">
        <f>(Datenabzug!H292/Datenabzug!H291-1)</f>
        <v>9.5383161385780291E-3</v>
      </c>
      <c r="I292">
        <f>(Datenabzug!I292/Datenabzug!I291-1)</f>
        <v>1.1529353799865083E-2</v>
      </c>
      <c r="J292">
        <f>(Datenabzug!J292/Datenabzug!J291-1)</f>
        <v>3.912040539724404E-2</v>
      </c>
      <c r="K292">
        <f>(Datenabzug!K292/Datenabzug!K291-1)</f>
        <v>1.300356225487409E-2</v>
      </c>
    </row>
    <row r="293" spans="1:11">
      <c r="A293" s="1">
        <v>45719</v>
      </c>
      <c r="B293">
        <f>(Datenabzug!B293/Datenabzug!B292-1)</f>
        <v>-2.6169656968662136E-2</v>
      </c>
      <c r="C293">
        <f>(Datenabzug!C293/Datenabzug!C292-1)</f>
        <v>1.5587640367730637E-2</v>
      </c>
      <c r="D293">
        <f>(Datenabzug!D293/Datenabzug!D292-1)</f>
        <v>-2.1411149866034429E-2</v>
      </c>
      <c r="E293">
        <f>(Datenabzug!E293/Datenabzug!E292-1)</f>
        <v>-6.9959873629782399E-3</v>
      </c>
      <c r="F293">
        <f>(Datenabzug!F293/Datenabzug!F292-1)</f>
        <v>-7.8451075218393118E-3</v>
      </c>
      <c r="G293">
        <f>(Datenabzug!G293/Datenabzug!G292-1)</f>
        <v>-8.6935630975290445E-2</v>
      </c>
      <c r="H293">
        <f>(Datenabzug!H293/Datenabzug!H292-1)</f>
        <v>1.6420085506614779E-2</v>
      </c>
      <c r="I293">
        <f>(Datenabzug!I293/Datenabzug!I292-1)</f>
        <v>-3.4538477021704983E-3</v>
      </c>
      <c r="J293">
        <f>(Datenabzug!J293/Datenabzug!J292-1)</f>
        <v>-2.843203214376544E-2</v>
      </c>
      <c r="K293">
        <f>(Datenabzug!K293/Datenabzug!K292-1)</f>
        <v>2.0904148712597159E-3</v>
      </c>
    </row>
    <row r="294" spans="1:11">
      <c r="A294" s="1">
        <v>45720</v>
      </c>
      <c r="B294">
        <f>(Datenabzug!B294/Datenabzug!B293-1)</f>
        <v>-6.5623919924283847E-2</v>
      </c>
      <c r="C294">
        <f>(Datenabzug!C294/Datenabzug!C293-1)</f>
        <v>-2.9452363346100685E-2</v>
      </c>
      <c r="D294">
        <f>(Datenabzug!D294/Datenabzug!D293-1)</f>
        <v>3.0889186754046172E-4</v>
      </c>
      <c r="E294">
        <f>(Datenabzug!E294/Datenabzug!E293-1)</f>
        <v>-1.1502465884224433E-3</v>
      </c>
      <c r="F294">
        <f>(Datenabzug!F294/Datenabzug!F293-1)</f>
        <v>-1.3901258895263613E-2</v>
      </c>
      <c r="G294">
        <f>(Datenabzug!G294/Datenabzug!G293-1)</f>
        <v>1.6920910491736718E-2</v>
      </c>
      <c r="H294">
        <f>(Datenabzug!H294/Datenabzug!H293-1)</f>
        <v>-1.1539215544450143E-2</v>
      </c>
      <c r="I294">
        <f>(Datenabzug!I294/Datenabzug!I293-1)</f>
        <v>-2.9027033860577034E-2</v>
      </c>
      <c r="J294">
        <f>(Datenabzug!J294/Datenabzug!J293-1)</f>
        <v>-4.4299967054096334E-2</v>
      </c>
      <c r="K294">
        <f>(Datenabzug!K294/Datenabzug!K293-1)</f>
        <v>-1.8862323131338732E-2</v>
      </c>
    </row>
    <row r="295" spans="1:11">
      <c r="A295" s="1">
        <v>45721</v>
      </c>
      <c r="B295">
        <f>(Datenabzug!B295/Datenabzug!B294-1)</f>
        <v>2.6809376521437667E-2</v>
      </c>
      <c r="C295">
        <f>(Datenabzug!C295/Datenabzug!C294-1)</f>
        <v>-1.5671461068480497E-3</v>
      </c>
      <c r="D295">
        <f>(Datenabzug!D295/Datenabzug!D294-1)</f>
        <v>3.1934355453624663E-2</v>
      </c>
      <c r="E295">
        <f>(Datenabzug!E295/Datenabzug!E294-1)</f>
        <v>1.88570251270328E-2</v>
      </c>
      <c r="F295">
        <f>(Datenabzug!F295/Datenabzug!F294-1)</f>
        <v>6.3372714520730788E-3</v>
      </c>
      <c r="G295">
        <f>(Datenabzug!G295/Datenabzug!G294-1)</f>
        <v>1.1294103313252091E-2</v>
      </c>
      <c r="H295">
        <f>(Datenabzug!H295/Datenabzug!H294-1)</f>
        <v>-2.0105527778683241E-3</v>
      </c>
      <c r="I295">
        <f>(Datenabzug!I295/Datenabzug!I294-1)</f>
        <v>-3.3017603400750106E-3</v>
      </c>
      <c r="J295">
        <f>(Datenabzug!J295/Datenabzug!J294-1)</f>
        <v>2.5952056083060171E-2</v>
      </c>
      <c r="K295">
        <f>(Datenabzug!K295/Datenabzug!K294-1)</f>
        <v>1.6768820068480128E-3</v>
      </c>
    </row>
    <row r="296" spans="1:11">
      <c r="A296" s="1">
        <v>45722</v>
      </c>
      <c r="B296">
        <f>(Datenabzug!B296/Datenabzug!B295-1)</f>
        <v>-2.8990015200805463E-2</v>
      </c>
      <c r="C296">
        <f>(Datenabzug!C296/Datenabzug!C295-1)</f>
        <v>5.422325161685615E-3</v>
      </c>
      <c r="D296">
        <f>(Datenabzug!D296/Datenabzug!D295-1)</f>
        <v>-1.0298673972249373E-2</v>
      </c>
      <c r="E296">
        <f>(Datenabzug!E296/Datenabzug!E295-1)</f>
        <v>-8.5334839358326642E-2</v>
      </c>
      <c r="F296">
        <f>(Datenabzug!F296/Datenabzug!F295-1)</f>
        <v>-1.2852144667712118E-3</v>
      </c>
      <c r="G296">
        <f>(Datenabzug!G296/Datenabzug!G295-1)</f>
        <v>-5.7374242336720838E-2</v>
      </c>
      <c r="H296">
        <f>(Datenabzug!H296/Datenabzug!H295-1)</f>
        <v>4.7440265547378235E-3</v>
      </c>
      <c r="I296">
        <f>(Datenabzug!I296/Datenabzug!I295-1)</f>
        <v>-5.5689813637431196E-2</v>
      </c>
      <c r="J296">
        <f>(Datenabzug!J296/Datenabzug!J295-1)</f>
        <v>-5.6073068986890573E-2</v>
      </c>
      <c r="K296">
        <f>(Datenabzug!K296/Datenabzug!K295-1)</f>
        <v>-1.2167414818920252E-2</v>
      </c>
    </row>
    <row r="297" spans="1:11">
      <c r="A297" s="1">
        <v>45723</v>
      </c>
      <c r="B297">
        <f>(Datenabzug!B297/Datenabzug!B296-1)</f>
        <v>-2.6825728690762607E-2</v>
      </c>
      <c r="C297">
        <f>(Datenabzug!C297/Datenabzug!C296-1)</f>
        <v>1.3766623991894322E-2</v>
      </c>
      <c r="D297">
        <f>(Datenabzug!D297/Datenabzug!D296-1)</f>
        <v>-9.0201718450778623E-3</v>
      </c>
      <c r="E297">
        <f>(Datenabzug!E297/Datenabzug!E296-1)</f>
        <v>-1.6825544205909315E-2</v>
      </c>
      <c r="F297">
        <f>(Datenabzug!F297/Datenabzug!F296-1)</f>
        <v>1.1324164919183755E-2</v>
      </c>
      <c r="G297">
        <f>(Datenabzug!G297/Datenabzug!G296-1)</f>
        <v>1.9173388638406008E-2</v>
      </c>
      <c r="H297">
        <f>(Datenabzug!H297/Datenabzug!H296-1)</f>
        <v>7.7321826472853683E-3</v>
      </c>
      <c r="I297">
        <f>(Datenabzug!I297/Datenabzug!I296-1)</f>
        <v>9.5761617625946815E-3</v>
      </c>
      <c r="J297">
        <f>(Datenabzug!J297/Datenabzug!J296-1)</f>
        <v>-2.9607088371819135E-3</v>
      </c>
      <c r="K297">
        <f>(Datenabzug!K297/Datenabzug!K296-1)</f>
        <v>1.3922432691506614E-3</v>
      </c>
    </row>
    <row r="298" spans="1:11">
      <c r="A298" s="1">
        <v>45726</v>
      </c>
      <c r="B298">
        <f>(Datenabzug!B298/Datenabzug!B297-1)</f>
        <v>-3.9110124956207692E-2</v>
      </c>
      <c r="C298">
        <f>(Datenabzug!C298/Datenabzug!C297-1)</f>
        <v>2.8000899409641455E-4</v>
      </c>
      <c r="D298">
        <f>(Datenabzug!D298/Datenabzug!D297-1)</f>
        <v>-3.3434141521946903E-2</v>
      </c>
      <c r="E298">
        <f>(Datenabzug!E298/Datenabzug!E297-1)</f>
        <v>-2.7415238385128049E-2</v>
      </c>
      <c r="F298">
        <f>(Datenabzug!F298/Datenabzug!F297-1)</f>
        <v>-2.7866076468316403E-2</v>
      </c>
      <c r="G298">
        <f>(Datenabzug!G298/Datenabzug!G297-1)</f>
        <v>-5.0670024349749099E-2</v>
      </c>
      <c r="H298">
        <f>(Datenabzug!H298/Datenabzug!H297-1)</f>
        <v>1.1719689541894729E-2</v>
      </c>
      <c r="I298">
        <f>(Datenabzug!I298/Datenabzug!I297-1)</f>
        <v>-5.0244238718260559E-2</v>
      </c>
      <c r="J298">
        <f>(Datenabzug!J298/Datenabzug!J297-1)</f>
        <v>-0.15426206822195132</v>
      </c>
      <c r="K298">
        <f>(Datenabzug!K298/Datenabzug!K297-1)</f>
        <v>3.3545299279753582E-3</v>
      </c>
    </row>
    <row r="299" spans="1:11">
      <c r="A299" s="1">
        <v>45727</v>
      </c>
      <c r="B299">
        <f>(Datenabzug!B299/Datenabzug!B298-1)</f>
        <v>3.9892027712390421E-2</v>
      </c>
      <c r="C299">
        <f>(Datenabzug!C299/Datenabzug!C298-1)</f>
        <v>-5.7382525288276476E-3</v>
      </c>
      <c r="D299">
        <f>(Datenabzug!D299/Datenabzug!D298-1)</f>
        <v>7.6281202510064539E-4</v>
      </c>
      <c r="E299">
        <f>(Datenabzug!E299/Datenabzug!E298-1)</f>
        <v>3.2791783761400017E-2</v>
      </c>
      <c r="F299">
        <f>(Datenabzug!F299/Datenabzug!F298-1)</f>
        <v>-2.9188587779078179E-2</v>
      </c>
      <c r="G299">
        <f>(Datenabzug!G299/Datenabzug!G298-1)</f>
        <v>1.6638659885702012E-2</v>
      </c>
      <c r="H299">
        <f>(Datenabzug!H299/Datenabzug!H298-1)</f>
        <v>-2.5087917100246382E-2</v>
      </c>
      <c r="I299">
        <f>(Datenabzug!I299/Datenabzug!I298-1)</f>
        <v>-1.5326779231649157E-2</v>
      </c>
      <c r="J299">
        <f>(Datenabzug!J299/Datenabzug!J298-1)</f>
        <v>3.7947369642954643E-2</v>
      </c>
      <c r="K299">
        <f>(Datenabzug!K299/Datenabzug!K298-1)</f>
        <v>-1.6506061890011803E-2</v>
      </c>
    </row>
    <row r="300" spans="1:11">
      <c r="A300" s="1">
        <v>45728</v>
      </c>
      <c r="B300">
        <f>(Datenabzug!B300/Datenabzug!B299-1)</f>
        <v>3.0767269688948495E-2</v>
      </c>
      <c r="C300">
        <f>(Datenabzug!C300/Datenabzug!C299-1)</f>
        <v>-1.5484169019240768E-2</v>
      </c>
      <c r="D300">
        <f>(Datenabzug!D300/Datenabzug!D299-1)</f>
        <v>7.4122404186987012E-3</v>
      </c>
      <c r="E300">
        <f>(Datenabzug!E300/Datenabzug!E299-1)</f>
        <v>2.7460638766919621E-2</v>
      </c>
      <c r="F300">
        <f>(Datenabzug!F300/Datenabzug!F299-1)</f>
        <v>-7.9546007581720035E-3</v>
      </c>
      <c r="G300">
        <f>(Datenabzug!G300/Datenabzug!G299-1)</f>
        <v>6.4275886842782182E-2</v>
      </c>
      <c r="H300">
        <f>(Datenabzug!H300/Datenabzug!H299-1)</f>
        <v>-2.730915259811928E-2</v>
      </c>
      <c r="I300">
        <f>(Datenabzug!I300/Datenabzug!I299-1)</f>
        <v>-8.9374917974486268E-3</v>
      </c>
      <c r="J300">
        <f>(Datenabzug!J300/Datenabzug!J299-1)</f>
        <v>7.5938912168391548E-2</v>
      </c>
      <c r="K300">
        <f>(Datenabzug!K300/Datenabzug!K299-1)</f>
        <v>-1.6599214906825588E-2</v>
      </c>
    </row>
    <row r="301" spans="1:11">
      <c r="A301" s="1">
        <v>45729</v>
      </c>
      <c r="B301">
        <f>(Datenabzug!B301/Datenabzug!B300-1)</f>
        <v>3.274586035691307E-3</v>
      </c>
      <c r="C301">
        <f>(Datenabzug!C301/Datenabzug!C300-1)</f>
        <v>-4.5754776179751655E-3</v>
      </c>
      <c r="D301">
        <f>(Datenabzug!D301/Datenabzug!D300-1)</f>
        <v>-1.1741087272258421E-2</v>
      </c>
      <c r="E301">
        <f>(Datenabzug!E301/Datenabzug!E300-1)</f>
        <v>-3.2087258612385927E-2</v>
      </c>
      <c r="F301">
        <f>(Datenabzug!F301/Datenabzug!F300-1)</f>
        <v>-1.2775283909405744E-2</v>
      </c>
      <c r="G301">
        <f>(Datenabzug!G301/Datenabzug!G300-1)</f>
        <v>-1.382404632544687E-3</v>
      </c>
      <c r="H301">
        <f>(Datenabzug!H301/Datenabzug!H300-1)</f>
        <v>1.1473099070435921E-3</v>
      </c>
      <c r="I301">
        <f>(Datenabzug!I301/Datenabzug!I300-1)</f>
        <v>-2.685178257898102E-2</v>
      </c>
      <c r="J301">
        <f>(Datenabzug!J301/Datenabzug!J300-1)</f>
        <v>-2.9868208196580537E-2</v>
      </c>
      <c r="K301">
        <f>(Datenabzug!K301/Datenabzug!K300-1)</f>
        <v>-6.2286172077881119E-3</v>
      </c>
    </row>
    <row r="302" spans="1:11">
      <c r="A302" s="1">
        <v>45730</v>
      </c>
      <c r="B302">
        <f>(Datenabzug!B302/Datenabzug!B301-1)</f>
        <v>1.5628860908271536E-2</v>
      </c>
      <c r="C302">
        <f>(Datenabzug!C302/Datenabzug!C301-1)</f>
        <v>7.2355851145622374E-4</v>
      </c>
      <c r="D302">
        <f>(Datenabzug!D302/Datenabzug!D301-1)</f>
        <v>2.5846832027436761E-2</v>
      </c>
      <c r="E302">
        <f>(Datenabzug!E302/Datenabzug!E301-1)</f>
        <v>3.126371100366887E-2</v>
      </c>
      <c r="F302">
        <f>(Datenabzug!F302/Datenabzug!F301-1)</f>
        <v>-1.3491130566509968E-2</v>
      </c>
      <c r="G302">
        <f>(Datenabzug!G302/Datenabzug!G301-1)</f>
        <v>5.26907728615571E-2</v>
      </c>
      <c r="H302">
        <f>(Datenabzug!H302/Datenabzug!H301-1)</f>
        <v>1.6852991395512884E-3</v>
      </c>
      <c r="I302">
        <f>(Datenabzug!I302/Datenabzug!I301-1)</f>
        <v>2.1553491012432868E-2</v>
      </c>
      <c r="J302">
        <f>(Datenabzug!J302/Datenabzug!J301-1)</f>
        <v>3.8640532386445603E-2</v>
      </c>
      <c r="K302">
        <f>(Datenabzug!K302/Datenabzug!K301-1)</f>
        <v>1.7267219245130638E-2</v>
      </c>
    </row>
    <row r="303" spans="1:11">
      <c r="A303" s="1">
        <v>45733</v>
      </c>
      <c r="B303">
        <f>(Datenabzug!B303/Datenabzug!B302-1)</f>
        <v>2.4725632238831174E-4</v>
      </c>
      <c r="C303">
        <f>(Datenabzug!C303/Datenabzug!C302-1)</f>
        <v>1.3880878925685902E-2</v>
      </c>
      <c r="D303">
        <f>(Datenabzug!D303/Datenabzug!D302-1)</f>
        <v>3.6037448101611247E-4</v>
      </c>
      <c r="E303">
        <f>(Datenabzug!E303/Datenabzug!E302-1)</f>
        <v>3.4880195567810413E-2</v>
      </c>
      <c r="F303">
        <f>(Datenabzug!F303/Datenabzug!F302-1)</f>
        <v>2.8467693223123369E-2</v>
      </c>
      <c r="G303">
        <f>(Datenabzug!G303/Datenabzug!G302-1)</f>
        <v>-1.758858397272467E-2</v>
      </c>
      <c r="H303">
        <f>(Datenabzug!H303/Datenabzug!H302-1)</f>
        <v>1.850730816919044E-2</v>
      </c>
      <c r="I303">
        <f>(Datenabzug!I303/Datenabzug!I302-1)</f>
        <v>9.8869359660900269E-3</v>
      </c>
      <c r="J303">
        <f>(Datenabzug!J303/Datenabzug!J302-1)</f>
        <v>-4.7883836408055935E-2</v>
      </c>
      <c r="K303">
        <f>(Datenabzug!K303/Datenabzug!K302-1)</f>
        <v>1.1459901879250944E-2</v>
      </c>
    </row>
    <row r="304" spans="1:11">
      <c r="A304" s="1">
        <v>45734</v>
      </c>
      <c r="B304">
        <f>(Datenabzug!B304/Datenabzug!B303-1)</f>
        <v>-1.7299893032930447E-3</v>
      </c>
      <c r="C304">
        <f>(Datenabzug!C304/Datenabzug!C303-1)</f>
        <v>-1.0553388581313605E-2</v>
      </c>
      <c r="D304">
        <f>(Datenabzug!D304/Datenabzug!D303-1)</f>
        <v>-1.3326535354079128E-2</v>
      </c>
      <c r="E304">
        <f>(Datenabzug!E304/Datenabzug!E303-1)</f>
        <v>-2.1094333435613288E-2</v>
      </c>
      <c r="F304">
        <f>(Datenabzug!F304/Datenabzug!F303-1)</f>
        <v>-5.2916597585728198E-3</v>
      </c>
      <c r="G304">
        <f>(Datenabzug!G304/Datenabzug!G303-1)</f>
        <v>-3.4301020276586325E-2</v>
      </c>
      <c r="H304">
        <f>(Datenabzug!H304/Datenabzug!H303-1)</f>
        <v>-1.5527944296004126E-2</v>
      </c>
      <c r="I304">
        <f>(Datenabzug!I304/Datenabzug!I303-1)</f>
        <v>-8.0743154957843011E-3</v>
      </c>
      <c r="J304">
        <f>(Datenabzug!J304/Datenabzug!J303-1)</f>
        <v>-5.3359090968246203E-2</v>
      </c>
      <c r="K304">
        <f>(Datenabzug!K304/Datenabzug!K303-1)</f>
        <v>2.022363026741858E-2</v>
      </c>
    </row>
    <row r="305" spans="1:11">
      <c r="A305" s="1">
        <v>45735</v>
      </c>
      <c r="B305">
        <f>(Datenabzug!B305/Datenabzug!B304-1)</f>
        <v>6.8391330643411186E-2</v>
      </c>
      <c r="C305">
        <f>(Datenabzug!C305/Datenabzug!C304-1)</f>
        <v>-1.4413745940421441E-3</v>
      </c>
      <c r="D305">
        <f>(Datenabzug!D305/Datenabzug!D304-1)</f>
        <v>1.1211995643546802E-2</v>
      </c>
      <c r="E305">
        <f>(Datenabzug!E305/Datenabzug!E304-1)</f>
        <v>3.173187636872643E-2</v>
      </c>
      <c r="F305">
        <f>(Datenabzug!F305/Datenabzug!F304-1)</f>
        <v>-4.3651149924474053E-3</v>
      </c>
      <c r="G305">
        <f>(Datenabzug!G305/Datenabzug!G304-1)</f>
        <v>1.8106181739337979E-2</v>
      </c>
      <c r="H305">
        <f>(Datenabzug!H305/Datenabzug!H304-1)</f>
        <v>-5.9064634286598583E-3</v>
      </c>
      <c r="I305">
        <f>(Datenabzug!I305/Datenabzug!I304-1)</f>
        <v>9.2592816985703763E-3</v>
      </c>
      <c r="J305">
        <f>(Datenabzug!J305/Datenabzug!J304-1)</f>
        <v>4.6824389357220664E-2</v>
      </c>
      <c r="K305">
        <f>(Datenabzug!K305/Datenabzug!K304-1)</f>
        <v>-1.3732818742846487E-3</v>
      </c>
    </row>
    <row r="306" spans="1:11">
      <c r="A306" s="1">
        <v>45736</v>
      </c>
      <c r="B306">
        <f>(Datenabzug!B306/Datenabzug!B305-1)</f>
        <v>1.216583940489846E-3</v>
      </c>
      <c r="C306">
        <f>(Datenabzug!C306/Datenabzug!C305-1)</f>
        <v>6.2066908000384391E-3</v>
      </c>
      <c r="D306">
        <f>(Datenabzug!D306/Datenabzug!D305-1)</f>
        <v>-2.5270404363499921E-3</v>
      </c>
      <c r="E306">
        <f>(Datenabzug!E306/Datenabzug!E305-1)</f>
        <v>-9.0151679193590795E-3</v>
      </c>
      <c r="F306">
        <f>(Datenabzug!F306/Datenabzug!F305-1)</f>
        <v>-1.5481514419621645E-2</v>
      </c>
      <c r="G306">
        <f>(Datenabzug!G306/Datenabzug!G305-1)</f>
        <v>8.5943129662457984E-3</v>
      </c>
      <c r="H306">
        <f>(Datenabzug!H306/Datenabzug!H305-1)</f>
        <v>-6.4816985649828185E-3</v>
      </c>
      <c r="I306">
        <f>(Datenabzug!I306/Datenabzug!I305-1)</f>
        <v>9.0727084672215241E-4</v>
      </c>
      <c r="J306">
        <f>(Datenabzug!J306/Datenabzug!J305-1)</f>
        <v>1.695895427155536E-3</v>
      </c>
      <c r="K306">
        <f>(Datenabzug!K306/Datenabzug!K305-1)</f>
        <v>0</v>
      </c>
    </row>
    <row r="307" spans="1:11">
      <c r="A307" s="1">
        <v>45737</v>
      </c>
      <c r="B307">
        <f>(Datenabzug!B307/Datenabzug!B306-1)</f>
        <v>3.0550244305721508E-2</v>
      </c>
      <c r="C307">
        <f>(Datenabzug!C307/Datenabzug!C306-1)</f>
        <v>-1.4918893013552537E-2</v>
      </c>
      <c r="D307">
        <f>(Datenabzug!D307/Datenabzug!D306-1)</f>
        <v>1.1425980008762826E-2</v>
      </c>
      <c r="E307">
        <f>(Datenabzug!E307/Datenabzug!E306-1)</f>
        <v>9.9385289901257057E-3</v>
      </c>
      <c r="F307">
        <f>(Datenabzug!F307/Datenabzug!F306-1)</f>
        <v>-5.4550489368367039E-2</v>
      </c>
      <c r="G307">
        <f>(Datenabzug!G307/Datenabzug!G306-1)</f>
        <v>-7.0024335551851502E-3</v>
      </c>
      <c r="H307">
        <f>(Datenabzug!H307/Datenabzug!H306-1)</f>
        <v>-1.155283781084615E-2</v>
      </c>
      <c r="I307">
        <f>(Datenabzug!I307/Datenabzug!I306-1)</f>
        <v>-2.226026284141791E-2</v>
      </c>
      <c r="J307">
        <f>(Datenabzug!J307/Datenabzug!J306-1)</f>
        <v>5.2696235065187169E-2</v>
      </c>
      <c r="K307">
        <f>(Datenabzug!K307/Datenabzug!K306-1)</f>
        <v>-5.381029640806223E-3</v>
      </c>
    </row>
    <row r="308" spans="1:11">
      <c r="A308" s="1">
        <v>45740</v>
      </c>
      <c r="B308">
        <f>(Datenabzug!B308/Datenabzug!B307-1)</f>
        <v>1.5664439259851726E-2</v>
      </c>
      <c r="C308">
        <f>(Datenabzug!C308/Datenabzug!C307-1)</f>
        <v>4.077464781639506E-3</v>
      </c>
      <c r="D308">
        <f>(Datenabzug!D308/Datenabzug!D307-1)</f>
        <v>4.6516011094202003E-3</v>
      </c>
      <c r="E308">
        <f>(Datenabzug!E308/Datenabzug!E307-1)</f>
        <v>1.2183832461801325E-2</v>
      </c>
      <c r="F308">
        <f>(Datenabzug!F308/Datenabzug!F307-1)</f>
        <v>-8.0954140644799999E-3</v>
      </c>
      <c r="G308">
        <f>(Datenabzug!G308/Datenabzug!G307-1)</f>
        <v>3.1520857860211526E-2</v>
      </c>
      <c r="H308">
        <f>(Datenabzug!H308/Datenabzug!H307-1)</f>
        <v>6.8752463872967517E-3</v>
      </c>
      <c r="I308">
        <f>(Datenabzug!I308/Datenabzug!I307-1)</f>
        <v>-1.3907471583515352E-2</v>
      </c>
      <c r="J308">
        <f>(Datenabzug!J308/Datenabzug!J307-1)</f>
        <v>0.11933580126800414</v>
      </c>
      <c r="K308">
        <f>(Datenabzug!K308/Datenabzug!K307-1)</f>
        <v>1.3555429229120231E-2</v>
      </c>
    </row>
    <row r="309" spans="1:11">
      <c r="A309" s="1">
        <v>45741</v>
      </c>
      <c r="B309">
        <f>(Datenabzug!B309/Datenabzug!B308-1)</f>
        <v>9.3421918099845236E-3</v>
      </c>
      <c r="C309">
        <f>(Datenabzug!C309/Datenabzug!C308-1)</f>
        <v>-2.0305090079668631E-3</v>
      </c>
      <c r="D309">
        <f>(Datenabzug!D309/Datenabzug!D308-1)</f>
        <v>5.2915793785126564E-3</v>
      </c>
      <c r="E309">
        <f>(Datenabzug!E309/Datenabzug!E308-1)</f>
        <v>2.6018826651087013E-2</v>
      </c>
      <c r="F309">
        <f>(Datenabzug!F309/Datenabzug!F308-1)</f>
        <v>-1.2613068883026268E-2</v>
      </c>
      <c r="G309">
        <f>(Datenabzug!G309/Datenabzug!G308-1)</f>
        <v>-5.9303005395796582E-3</v>
      </c>
      <c r="H309">
        <f>(Datenabzug!H309/Datenabzug!H308-1)</f>
        <v>-6.213779462285296E-3</v>
      </c>
      <c r="I309">
        <f>(Datenabzug!I309/Datenabzug!I308-1)</f>
        <v>1.6715487394718398E-3</v>
      </c>
      <c r="J309">
        <f>(Datenabzug!J309/Datenabzug!J308-1)</f>
        <v>3.5022807884516727E-2</v>
      </c>
      <c r="K309">
        <f>(Datenabzug!K309/Datenabzug!K308-1)</f>
        <v>2.1054781570735148E-3</v>
      </c>
    </row>
    <row r="310" spans="1:11">
      <c r="A310" s="1">
        <v>45742</v>
      </c>
      <c r="B310">
        <f>(Datenabzug!B310/Datenabzug!B309-1)</f>
        <v>-2.2126038486012356E-2</v>
      </c>
      <c r="C310">
        <f>(Datenabzug!C310/Datenabzug!C309-1)</f>
        <v>1.7584603508658203E-2</v>
      </c>
      <c r="D310">
        <f>(Datenabzug!D310/Datenabzug!D309-1)</f>
        <v>-1.313389878045168E-2</v>
      </c>
      <c r="E310">
        <f>(Datenabzug!E310/Datenabzug!E309-1)</f>
        <v>-2.6702635268439301E-2</v>
      </c>
      <c r="F310">
        <f>(Datenabzug!F310/Datenabzug!F309-1)</f>
        <v>-1.2022917019181123E-2</v>
      </c>
      <c r="G310">
        <f>(Datenabzug!G310/Datenabzug!G309-1)</f>
        <v>-5.7419840280508949E-2</v>
      </c>
      <c r="H310">
        <f>(Datenabzug!H310/Datenabzug!H309-1)</f>
        <v>2.1300031469317249E-2</v>
      </c>
      <c r="I310">
        <f>(Datenabzug!I310/Datenabzug!I309-1)</f>
        <v>2.1798123633390176E-2</v>
      </c>
      <c r="J310">
        <f>(Datenabzug!J310/Datenabzug!J309-1)</f>
        <v>-5.5806261790690148E-2</v>
      </c>
      <c r="K310">
        <f>(Datenabzug!K310/Datenabzug!K309-1)</f>
        <v>1.9530033034482752E-3</v>
      </c>
    </row>
    <row r="311" spans="1:11">
      <c r="A311" s="1">
        <v>45743</v>
      </c>
      <c r="B311">
        <f>(Datenabzug!B311/Datenabzug!B310-1)</f>
        <v>3.1363626380429555E-3</v>
      </c>
      <c r="C311">
        <f>(Datenabzug!C311/Datenabzug!C310-1)</f>
        <v>1.0282822048996998E-2</v>
      </c>
      <c r="D311">
        <f>(Datenabzug!D311/Datenabzug!D310-1)</f>
        <v>1.5641560750387917E-3</v>
      </c>
      <c r="E311">
        <f>(Datenabzug!E311/Datenabzug!E310-1)</f>
        <v>6.2534859489928873E-3</v>
      </c>
      <c r="F311">
        <f>(Datenabzug!F311/Datenabzug!F310-1)</f>
        <v>9.1275625050601938E-4</v>
      </c>
      <c r="G311">
        <f>(Datenabzug!G311/Datenabzug!G310-1)</f>
        <v>-2.0481744923909528E-2</v>
      </c>
      <c r="H311">
        <f>(Datenabzug!H311/Datenabzug!H310-1)</f>
        <v>6.9295516682807978E-3</v>
      </c>
      <c r="I311">
        <f>(Datenabzug!I311/Datenabzug!I310-1)</f>
        <v>8.9822596920463571E-3</v>
      </c>
      <c r="J311">
        <f>(Datenabzug!J311/Datenabzug!J310-1)</f>
        <v>3.9329829222267687E-3</v>
      </c>
      <c r="K311">
        <f>(Datenabzug!K311/Datenabzug!K310-1)</f>
        <v>6.7634453947578166E-3</v>
      </c>
    </row>
    <row r="312" spans="1:11">
      <c r="A312" s="1">
        <v>45744</v>
      </c>
      <c r="B312">
        <f>(Datenabzug!B312/Datenabzug!B311-1)</f>
        <v>-3.2382351806115706E-2</v>
      </c>
      <c r="C312">
        <f>(Datenabzug!C312/Datenabzug!C311-1)</f>
        <v>-5.2302843598500681E-3</v>
      </c>
      <c r="D312">
        <f>(Datenabzug!D312/Datenabzug!D311-1)</f>
        <v>-3.0160299683635206E-2</v>
      </c>
      <c r="E312">
        <f>(Datenabzug!E312/Datenabzug!E311-1)</f>
        <v>-4.3891797447662029E-2</v>
      </c>
      <c r="F312">
        <f>(Datenabzug!F312/Datenabzug!F311-1)</f>
        <v>-3.8145917392745199E-2</v>
      </c>
      <c r="G312">
        <f>(Datenabzug!G312/Datenabzug!G311-1)</f>
        <v>-1.5794689509741167E-2</v>
      </c>
      <c r="H312">
        <f>(Datenabzug!H312/Datenabzug!H311-1)</f>
        <v>-2.6725583195884584E-3</v>
      </c>
      <c r="I312">
        <f>(Datenabzug!I312/Datenabzug!I311-1)</f>
        <v>-1.1330189051004913E-2</v>
      </c>
      <c r="J312">
        <f>(Datenabzug!J312/Datenabzug!J311-1)</f>
        <v>-3.507493471453027E-2</v>
      </c>
      <c r="K312">
        <f>(Datenabzug!K312/Datenabzug!K311-1)</f>
        <v>-1.0913015795951275E-2</v>
      </c>
    </row>
    <row r="313" spans="1:11">
      <c r="A313" s="1">
        <v>45747</v>
      </c>
      <c r="B313">
        <f>(Datenabzug!B313/Datenabzug!B312-1)</f>
        <v>-1.5925189231526637E-2</v>
      </c>
      <c r="C313">
        <f>(Datenabzug!C313/Datenabzug!C312-1)</f>
        <v>1.7763214859854992E-2</v>
      </c>
      <c r="D313">
        <f>(Datenabzug!D313/Datenabzug!D312-1)</f>
        <v>-9.0020219903974574E-3</v>
      </c>
      <c r="E313">
        <f>(Datenabzug!E313/Datenabzug!E312-1)</f>
        <v>-1.4134457606360673E-3</v>
      </c>
      <c r="F313">
        <f>(Datenabzug!F313/Datenabzug!F312-1)</f>
        <v>3.0020209247132446E-3</v>
      </c>
      <c r="G313">
        <f>(Datenabzug!G313/Datenabzug!G312-1)</f>
        <v>-1.1762550797750682E-2</v>
      </c>
      <c r="H313">
        <f>(Datenabzug!H313/Datenabzug!H312-1)</f>
        <v>4.4885568824017952E-3</v>
      </c>
      <c r="I313">
        <f>(Datenabzug!I313/Datenabzug!I312-1)</f>
        <v>3.6835344320649277E-3</v>
      </c>
      <c r="J313">
        <f>(Datenabzug!J313/Datenabzug!J312-1)</f>
        <v>-1.6657121359108462E-2</v>
      </c>
      <c r="K313">
        <f>(Datenabzug!K313/Datenabzug!K312-1)</f>
        <v>5.0857457738902045E-3</v>
      </c>
    </row>
    <row r="314" spans="1:11">
      <c r="A314" s="1">
        <v>45748</v>
      </c>
      <c r="B314">
        <f>(Datenabzug!B314/Datenabzug!B313-1)</f>
        <v>-1.3954880329669184E-2</v>
      </c>
      <c r="C314">
        <f>(Datenabzug!C314/Datenabzug!C313-1)</f>
        <v>3.4906809322146071E-3</v>
      </c>
      <c r="D314">
        <f>(Datenabzug!D314/Datenabzug!D313-1)</f>
        <v>1.8114486939047936E-2</v>
      </c>
      <c r="E314">
        <f>(Datenabzug!E314/Datenabzug!E313-1)</f>
        <v>-4.4502850135476058E-3</v>
      </c>
      <c r="F314">
        <f>(Datenabzug!F314/Datenabzug!F313-1)</f>
        <v>2.0163883196231858E-2</v>
      </c>
      <c r="G314">
        <f>(Datenabzug!G314/Datenabzug!G313-1)</f>
        <v>1.6331403136605305E-2</v>
      </c>
      <c r="H314">
        <f>(Datenabzug!H314/Datenabzug!H313-1)</f>
        <v>-1.8007540676953093E-3</v>
      </c>
      <c r="I314">
        <f>(Datenabzug!I314/Datenabzug!I313-1)</f>
        <v>1.4272762341909218E-3</v>
      </c>
      <c r="J314">
        <f>(Datenabzug!J314/Datenabzug!J313-1)</f>
        <v>3.5885119854737635E-2</v>
      </c>
      <c r="K314">
        <f>(Datenabzug!K314/Datenabzug!K313-1)</f>
        <v>-2.8111076249542899E-3</v>
      </c>
    </row>
    <row r="315" spans="1:11">
      <c r="A315" s="1">
        <v>45749</v>
      </c>
      <c r="B315">
        <f>(Datenabzug!B315/Datenabzug!B314-1)</f>
        <v>2.3190782773050422E-3</v>
      </c>
      <c r="C315">
        <f>(Datenabzug!C315/Datenabzug!C314-1)</f>
        <v>-7.5136516357633409E-3</v>
      </c>
      <c r="D315">
        <f>(Datenabzug!D315/Datenabzug!D314-1)</f>
        <v>-1.3079316736386293E-4</v>
      </c>
      <c r="E315">
        <f>(Datenabzug!E315/Datenabzug!E314-1)</f>
        <v>7.6908319986266349E-3</v>
      </c>
      <c r="F315">
        <f>(Datenabzug!F315/Datenabzug!F314-1)</f>
        <v>3.0882857659926266E-3</v>
      </c>
      <c r="G315">
        <f>(Datenabzug!G315/Datenabzug!G314-1)</f>
        <v>2.4512041565496467E-3</v>
      </c>
      <c r="H315">
        <f>(Datenabzug!H315/Datenabzug!H314-1)</f>
        <v>-3.6747934564863582E-3</v>
      </c>
      <c r="I315">
        <f>(Datenabzug!I315/Datenabzug!I314-1)</f>
        <v>1.2012642433276488E-2</v>
      </c>
      <c r="J315">
        <f>(Datenabzug!J315/Datenabzug!J314-1)</f>
        <v>5.3266850799776666E-2</v>
      </c>
      <c r="K315">
        <f>(Datenabzug!K315/Datenabzug!K314-1)</f>
        <v>1.2759036507905552E-3</v>
      </c>
    </row>
    <row r="316" spans="1:11">
      <c r="A316" s="1">
        <v>45750</v>
      </c>
      <c r="B316">
        <f>(Datenabzug!B316/Datenabzug!B315-1)</f>
        <v>-0.1047104541535645</v>
      </c>
      <c r="C316">
        <f>(Datenabzug!C316/Datenabzug!C315-1)</f>
        <v>2.5935757534367054E-2</v>
      </c>
      <c r="D316">
        <f>(Datenabzug!D316/Datenabzug!D315-1)</f>
        <v>-2.3630176386656321E-2</v>
      </c>
      <c r="E316">
        <f>(Datenabzug!E316/Datenabzug!E315-1)</f>
        <v>-1.974306412762461E-2</v>
      </c>
      <c r="F316">
        <f>(Datenabzug!F316/Datenabzug!F315-1)</f>
        <v>-0.14439651477786086</v>
      </c>
      <c r="G316">
        <f>(Datenabzug!G316/Datenabzug!G315-1)</f>
        <v>-7.8065556405090497E-2</v>
      </c>
      <c r="H316">
        <f>(Datenabzug!H316/Datenabzug!H315-1)</f>
        <v>1.5088562130042948E-2</v>
      </c>
      <c r="I316">
        <f>(Datenabzug!I316/Datenabzug!I315-1)</f>
        <v>-0.11216172528154011</v>
      </c>
      <c r="J316">
        <f>(Datenabzug!J316/Datenabzug!J315-1)</f>
        <v>-5.4746111372538486E-2</v>
      </c>
      <c r="K316">
        <f>(Datenabzug!K316/Datenabzug!K315-1)</f>
        <v>-1.4877127489194453E-2</v>
      </c>
    </row>
    <row r="317" spans="1:11">
      <c r="A317" s="1">
        <v>45751</v>
      </c>
      <c r="B317">
        <f>(Datenabzug!B317/Datenabzug!B316-1)</f>
        <v>-9.4891040863545606E-2</v>
      </c>
      <c r="C317">
        <f>(Datenabzug!C317/Datenabzug!C316-1)</f>
        <v>-4.4410976244344424E-2</v>
      </c>
      <c r="D317">
        <f>(Datenabzug!D317/Datenabzug!D316-1)</f>
        <v>-3.5565875953322279E-2</v>
      </c>
      <c r="E317">
        <f>(Datenabzug!E317/Datenabzug!E316-1)</f>
        <v>-6.6724827714866208E-2</v>
      </c>
      <c r="F317">
        <f>(Datenabzug!F317/Datenabzug!F316-1)</f>
        <v>3.0046752827543655E-2</v>
      </c>
      <c r="G317">
        <f>(Datenabzug!G317/Datenabzug!G316-1)</f>
        <v>-7.3575630651097401E-2</v>
      </c>
      <c r="H317">
        <f>(Datenabzug!H317/Datenabzug!H316-1)</f>
        <v>-3.1446165285237915E-2</v>
      </c>
      <c r="I317">
        <f>(Datenabzug!I317/Datenabzug!I316-1)</f>
        <v>-6.9793850644328304E-2</v>
      </c>
      <c r="J317">
        <f>(Datenabzug!J317/Datenabzug!J316-1)</f>
        <v>-0.10419786826814492</v>
      </c>
      <c r="K317">
        <f>(Datenabzug!K317/Datenabzug!K316-1)</f>
        <v>-7.1026744230696104E-2</v>
      </c>
    </row>
    <row r="318" spans="1:11">
      <c r="A318" s="1">
        <v>45754</v>
      </c>
      <c r="B318">
        <f>(Datenabzug!B318/Datenabzug!B317-1)</f>
        <v>1.6619110720565322E-2</v>
      </c>
      <c r="C318">
        <f>(Datenabzug!C318/Datenabzug!C317-1)</f>
        <v>-2.2308045263701226E-2</v>
      </c>
      <c r="D318">
        <f>(Datenabzug!D318/Datenabzug!D317-1)</f>
        <v>-5.5024669424605932E-3</v>
      </c>
      <c r="E318">
        <f>(Datenabzug!E318/Datenabzug!E317-1)</f>
        <v>1.3985969601516102E-2</v>
      </c>
      <c r="F318">
        <f>(Datenabzug!F318/Datenabzug!F317-1)</f>
        <v>-2.8646290107626871E-2</v>
      </c>
      <c r="G318">
        <f>(Datenabzug!G318/Datenabzug!G317-1)</f>
        <v>3.5309050363649064E-2</v>
      </c>
      <c r="H318">
        <f>(Datenabzug!H318/Datenabzug!H317-1)</f>
        <v>-2.3327142924782329E-2</v>
      </c>
      <c r="I318">
        <f>(Datenabzug!I318/Datenabzug!I317-1)</f>
        <v>-2.5578560676636442E-2</v>
      </c>
      <c r="J318">
        <f>(Datenabzug!J318/Datenabzug!J317-1)</f>
        <v>-2.5644236634811857E-2</v>
      </c>
      <c r="K318">
        <f>(Datenabzug!K318/Datenabzug!K317-1)</f>
        <v>-2.5226636384382717E-2</v>
      </c>
    </row>
    <row r="319" spans="1:11">
      <c r="A319" s="1">
        <v>45755</v>
      </c>
      <c r="B319">
        <f>(Datenabzug!B319/Datenabzug!B318-1)</f>
        <v>3.8167850854633478E-3</v>
      </c>
      <c r="C319">
        <f>(Datenabzug!C319/Datenabzug!C318-1)</f>
        <v>7.3127749244394913E-4</v>
      </c>
      <c r="D319">
        <f>(Datenabzug!D319/Datenabzug!D318-1)</f>
        <v>-9.221462386419077E-3</v>
      </c>
      <c r="E319">
        <f>(Datenabzug!E319/Datenabzug!E318-1)</f>
        <v>2.9614178740178243E-3</v>
      </c>
      <c r="F319">
        <f>(Datenabzug!F319/Datenabzug!F318-1)</f>
        <v>-4.2078807788287653E-2</v>
      </c>
      <c r="G319">
        <f>(Datenabzug!G319/Datenabzug!G318-1)</f>
        <v>-1.3723783758059716E-2</v>
      </c>
      <c r="H319">
        <f>(Datenabzug!H319/Datenabzug!H318-1)</f>
        <v>-2.0182929785343529E-2</v>
      </c>
      <c r="I319">
        <f>(Datenabzug!I319/Datenabzug!I318-1)</f>
        <v>-3.8749736133393275E-3</v>
      </c>
      <c r="J319">
        <f>(Datenabzug!J319/Datenabzug!J318-1)</f>
        <v>-4.8994783337157677E-2</v>
      </c>
      <c r="K319">
        <f>(Datenabzug!K319/Datenabzug!K318-1)</f>
        <v>3.4882106878448838E-3</v>
      </c>
    </row>
    <row r="320" spans="1:11">
      <c r="A320" s="1">
        <v>45756</v>
      </c>
      <c r="B320">
        <f>(Datenabzug!B320/Datenabzug!B319-1)</f>
        <v>0.15374135898132102</v>
      </c>
      <c r="C320">
        <f>(Datenabzug!C320/Datenabzug!C319-1)</f>
        <v>2.236183991391405E-2</v>
      </c>
      <c r="D320">
        <f>(Datenabzug!D320/Datenabzug!D319-1)</f>
        <v>0.10133680183690119</v>
      </c>
      <c r="E320">
        <f>(Datenabzug!E320/Datenabzug!E319-1)</f>
        <v>8.6247638078363664E-2</v>
      </c>
      <c r="F320">
        <f>(Datenabzug!F320/Datenabzug!F319-1)</f>
        <v>0.11357236883697186</v>
      </c>
      <c r="G320">
        <f>(Datenabzug!G320/Datenabzug!G319-1)</f>
        <v>0.18722731737741061</v>
      </c>
      <c r="H320">
        <f>(Datenabzug!H320/Datenabzug!H319-1)</f>
        <v>3.7704838543156649E-2</v>
      </c>
      <c r="I320">
        <f>(Datenabzug!I320/Datenabzug!I319-1)</f>
        <v>0.11281214719088006</v>
      </c>
      <c r="J320">
        <f>(Datenabzug!J320/Datenabzug!J319-1)</f>
        <v>0.22689989839624736</v>
      </c>
      <c r="K320">
        <f>(Datenabzug!K320/Datenabzug!K319-1)</f>
        <v>4.2210187133213894E-2</v>
      </c>
    </row>
    <row r="321" spans="1:11">
      <c r="A321" s="1">
        <v>45757</v>
      </c>
      <c r="B321">
        <f>(Datenabzug!B321/Datenabzug!B320-1)</f>
        <v>-3.2956117462879186E-2</v>
      </c>
      <c r="C321">
        <f>(Datenabzug!C321/Datenabzug!C320-1)</f>
        <v>1.1579833295217723E-2</v>
      </c>
      <c r="D321">
        <f>(Datenabzug!D321/Datenabzug!D320-1)</f>
        <v>-2.3406436264967523E-2</v>
      </c>
      <c r="E321">
        <f>(Datenabzug!E321/Datenabzug!E320-1)</f>
        <v>-2.5701490841531061E-2</v>
      </c>
      <c r="F321">
        <f>(Datenabzug!F321/Datenabzug!F320-1)</f>
        <v>-8.2939931207979933E-2</v>
      </c>
      <c r="G321">
        <f>(Datenabzug!G321/Datenabzug!G320-1)</f>
        <v>-5.9127076047845728E-2</v>
      </c>
      <c r="H321">
        <f>(Datenabzug!H321/Datenabzug!H320-1)</f>
        <v>-9.9594938624144591E-3</v>
      </c>
      <c r="I321">
        <f>(Datenabzug!I321/Datenabzug!I320-1)</f>
        <v>-4.6008173478043091E-2</v>
      </c>
      <c r="J321">
        <f>(Datenabzug!J321/Datenabzug!J320-1)</f>
        <v>-7.2740695894926821E-2</v>
      </c>
      <c r="K321">
        <f>(Datenabzug!K321/Datenabzug!K320-1)</f>
        <v>5.8130043316528823E-3</v>
      </c>
    </row>
    <row r="322" spans="1:11">
      <c r="A322" s="1">
        <v>45758</v>
      </c>
      <c r="B322">
        <f>(Datenabzug!B322/Datenabzug!B321-1)</f>
        <v>8.4876030682037307E-3</v>
      </c>
      <c r="C322">
        <f>(Datenabzug!C322/Datenabzug!C321-1)</f>
        <v>9.4685975230357489E-3</v>
      </c>
      <c r="D322">
        <f>(Datenabzug!D322/Datenabzug!D321-1)</f>
        <v>1.8618109995703458E-2</v>
      </c>
      <c r="E322">
        <f>(Datenabzug!E322/Datenabzug!E321-1)</f>
        <v>-3.1264641013535321E-3</v>
      </c>
      <c r="F322">
        <f>(Datenabzug!F322/Datenabzug!F321-1)</f>
        <v>-1.8388465907193119E-4</v>
      </c>
      <c r="G322">
        <f>(Datenabzug!G322/Datenabzug!G321-1)</f>
        <v>3.1235450513800833E-2</v>
      </c>
      <c r="H322">
        <f>(Datenabzug!H322/Datenabzug!H321-1)</f>
        <v>2.0119152386395278E-3</v>
      </c>
      <c r="I322">
        <f>(Datenabzug!I322/Datenabzug!I321-1)</f>
        <v>9.8109429566735074E-3</v>
      </c>
      <c r="J322">
        <f>(Datenabzug!J322/Datenabzug!J321-1)</f>
        <v>-3.5656236159775645E-4</v>
      </c>
      <c r="K322">
        <f>(Datenabzug!K322/Datenabzug!K321-1)</f>
        <v>1.6106534306636888E-2</v>
      </c>
    </row>
    <row r="323" spans="1:11">
      <c r="A323" s="1">
        <v>45761</v>
      </c>
      <c r="B323">
        <f>(Datenabzug!B323/Datenabzug!B322-1)</f>
        <v>1.5557271731563516E-2</v>
      </c>
      <c r="C323">
        <f>(Datenabzug!C323/Datenabzug!C322-1)</f>
        <v>1.4279650478853378E-2</v>
      </c>
      <c r="D323">
        <f>(Datenabzug!D323/Datenabzug!D322-1)</f>
        <v>-1.6476452344500458E-3</v>
      </c>
      <c r="E323">
        <f>(Datenabzug!E323/Datenabzug!E322-1)</f>
        <v>1.4145914232274626E-2</v>
      </c>
      <c r="F323">
        <f>(Datenabzug!F323/Datenabzug!F322-1)</f>
        <v>1.8753471858426352E-2</v>
      </c>
      <c r="G323">
        <f>(Datenabzug!G323/Datenabzug!G322-1)</f>
        <v>-1.98324387963833E-3</v>
      </c>
      <c r="H323">
        <f>(Datenabzug!H323/Datenabzug!H322-1)</f>
        <v>1.6063218120719425E-2</v>
      </c>
      <c r="I323">
        <f>(Datenabzug!I323/Datenabzug!I322-1)</f>
        <v>7.0229847388314504E-4</v>
      </c>
      <c r="J323">
        <f>(Datenabzug!J323/Datenabzug!J322-1)</f>
        <v>1.5856900364275006E-4</v>
      </c>
      <c r="K323">
        <f>(Datenabzug!K323/Datenabzug!K322-1)</f>
        <v>1.9518934685272216E-2</v>
      </c>
    </row>
    <row r="324" spans="1:11">
      <c r="A324" s="1">
        <v>45762</v>
      </c>
      <c r="B324">
        <f>(Datenabzug!B324/Datenabzug!B323-1)</f>
        <v>-2.3606193719564073E-2</v>
      </c>
      <c r="C324">
        <f>(Datenabzug!C324/Datenabzug!C323-1)</f>
        <v>-8.1434915753044734E-3</v>
      </c>
      <c r="D324">
        <f>(Datenabzug!D324/Datenabzug!D323-1)</f>
        <v>-5.3634085331584203E-3</v>
      </c>
      <c r="E324">
        <f>(Datenabzug!E324/Datenabzug!E323-1)</f>
        <v>4.8320589494413868E-2</v>
      </c>
      <c r="F324">
        <f>(Datenabzug!F324/Datenabzug!F323-1)</f>
        <v>-1.0467371509460754E-2</v>
      </c>
      <c r="G324">
        <f>(Datenabzug!G324/Datenabzug!G323-1)</f>
        <v>1.3458605333029894E-2</v>
      </c>
      <c r="H324">
        <f>(Datenabzug!H324/Datenabzug!H323-1)</f>
        <v>-2.6643993194177096E-2</v>
      </c>
      <c r="I324">
        <f>(Datenabzug!I324/Datenabzug!I323-1)</f>
        <v>-2.0821131421343675E-2</v>
      </c>
      <c r="J324">
        <f>(Datenabzug!J324/Datenabzug!J323-1)</f>
        <v>6.9744183248168223E-3</v>
      </c>
      <c r="K324">
        <f>(Datenabzug!K324/Datenabzug!K323-1)</f>
        <v>-2.6217599638079792E-3</v>
      </c>
    </row>
    <row r="325" spans="1:11">
      <c r="A325" s="1">
        <v>45763</v>
      </c>
      <c r="B325">
        <f>(Datenabzug!B325/Datenabzug!B324-1)</f>
        <v>6.1085193039134289E-3</v>
      </c>
      <c r="C325">
        <f>(Datenabzug!C325/Datenabzug!C324-1)</f>
        <v>-2.5049348617495193E-3</v>
      </c>
      <c r="D325">
        <f>(Datenabzug!D325/Datenabzug!D324-1)</f>
        <v>-3.6605970987533043E-2</v>
      </c>
      <c r="E325">
        <f>(Datenabzug!E325/Datenabzug!E324-1)</f>
        <v>-1.5005965475514249E-2</v>
      </c>
      <c r="F325">
        <f>(Datenabzug!F325/Datenabzug!F324-1)</f>
        <v>-2.3344943123095985E-2</v>
      </c>
      <c r="G325">
        <f>(Datenabzug!G325/Datenabzug!G324-1)</f>
        <v>-6.8716582103933721E-2</v>
      </c>
      <c r="H325">
        <f>(Datenabzug!H325/Datenabzug!H324-1)</f>
        <v>-1.9252316605508302E-2</v>
      </c>
      <c r="I325">
        <f>(Datenabzug!I325/Datenabzug!I324-1)</f>
        <v>-3.524067545966425E-2</v>
      </c>
      <c r="J325">
        <f>(Datenabzug!J325/Datenabzug!J324-1)</f>
        <v>-4.9427403598543695E-2</v>
      </c>
      <c r="K325">
        <f>(Datenabzug!K325/Datenabzug!K324-1)</f>
        <v>-7.427589979742022E-3</v>
      </c>
    </row>
    <row r="326" spans="1:11">
      <c r="A326" s="1">
        <v>45764</v>
      </c>
      <c r="B326">
        <f>(Datenabzug!B326/Datenabzug!B325-1)</f>
        <v>3.470309090189061E-2</v>
      </c>
      <c r="C326">
        <f>(Datenabzug!C326/Datenabzug!C325-1)</f>
        <v>1.8415223554471671E-2</v>
      </c>
      <c r="D326">
        <f>(Datenabzug!D326/Datenabzug!D325-1)</f>
        <v>-1.0306466637081679E-2</v>
      </c>
      <c r="E326">
        <f>(Datenabzug!E326/Datenabzug!E325-1)</f>
        <v>1.1854896744254884E-2</v>
      </c>
      <c r="F326">
        <f>(Datenabzug!F326/Datenabzug!F325-1)</f>
        <v>4.1269798927037415E-2</v>
      </c>
      <c r="G326">
        <f>(Datenabzug!G326/Datenabzug!G325-1)</f>
        <v>-2.8710904212869592E-2</v>
      </c>
      <c r="H326">
        <f>(Datenabzug!H326/Datenabzug!H325-1)</f>
        <v>1.9630244283497689E-2</v>
      </c>
      <c r="I326">
        <f>(Datenabzug!I326/Datenabzug!I325-1)</f>
        <v>9.1629288912380424E-3</v>
      </c>
      <c r="J326">
        <f>(Datenabzug!J326/Datenabzug!J325-1)</f>
        <v>-7.4522017096156912E-4</v>
      </c>
      <c r="K326">
        <f>(Datenabzug!K326/Datenabzug!K325-1)</f>
        <v>-1.1486432285193859E-2</v>
      </c>
    </row>
    <row r="327" spans="1:11">
      <c r="A327" s="1">
        <v>45768</v>
      </c>
      <c r="B327">
        <f>(Datenabzug!B327/Datenabzug!B326-1)</f>
        <v>-1.5812215287857367E-2</v>
      </c>
      <c r="C327">
        <f>(Datenabzug!C327/Datenabzug!C326-1)</f>
        <v>-3.150713220680279E-3</v>
      </c>
      <c r="D327">
        <f>(Datenabzug!D327/Datenabzug!D326-1)</f>
        <v>-2.354669598832948E-2</v>
      </c>
      <c r="E327">
        <f>(Datenabzug!E327/Datenabzug!E326-1)</f>
        <v>1.529237885742174E-2</v>
      </c>
      <c r="F327">
        <f>(Datenabzug!F327/Datenabzug!F326-1)</f>
        <v>6.4562536801042736E-3</v>
      </c>
      <c r="G327">
        <f>(Datenabzug!G327/Datenabzug!G326-1)</f>
        <v>-4.5127519880537426E-2</v>
      </c>
      <c r="H327">
        <f>(Datenabzug!H327/Datenabzug!H326-1)</f>
        <v>-7.7709947588210371E-3</v>
      </c>
      <c r="I327">
        <f>(Datenabzug!I327/Datenabzug!I326-1)</f>
        <v>-1.006137810185237E-2</v>
      </c>
      <c r="J327">
        <f>(Datenabzug!J327/Datenabzug!J326-1)</f>
        <v>-5.7463625959195963E-2</v>
      </c>
      <c r="K327">
        <f>(Datenabzug!K327/Datenabzug!K326-1)</f>
        <v>-1.6323935694840475E-2</v>
      </c>
    </row>
    <row r="328" spans="1:11">
      <c r="A328" s="1">
        <v>45769</v>
      </c>
      <c r="B328">
        <f>(Datenabzug!B328/Datenabzug!B327-1)</f>
        <v>1.9957374216493573E-2</v>
      </c>
      <c r="C328">
        <f>(Datenabzug!C328/Datenabzug!C327-1)</f>
        <v>1.5528406765572988E-2</v>
      </c>
      <c r="D328">
        <f>(Datenabzug!D328/Datenabzug!D327-1)</f>
        <v>2.1441365970603199E-2</v>
      </c>
      <c r="E328">
        <f>(Datenabzug!E328/Datenabzug!E327-1)</f>
        <v>5.3071630109061019E-2</v>
      </c>
      <c r="F328">
        <f>(Datenabzug!F328/Datenabzug!F327-1)</f>
        <v>1.6749850609662831E-2</v>
      </c>
      <c r="G328">
        <f>(Datenabzug!G328/Datenabzug!G327-1)</f>
        <v>2.0431284782840509E-2</v>
      </c>
      <c r="H328">
        <f>(Datenabzug!H328/Datenabzug!H327-1)</f>
        <v>1.2206445531777188E-2</v>
      </c>
      <c r="I328">
        <f>(Datenabzug!I328/Datenabzug!I327-1)</f>
        <v>1.3262306203506879E-2</v>
      </c>
      <c r="J328">
        <f>(Datenabzug!J328/Datenabzug!J327-1)</f>
        <v>4.6021983387705578E-2</v>
      </c>
      <c r="K328">
        <f>(Datenabzug!K328/Datenabzug!K327-1)</f>
        <v>2.8249161000714063E-2</v>
      </c>
    </row>
    <row r="329" spans="1:11">
      <c r="A329" s="1">
        <v>45770</v>
      </c>
      <c r="B329">
        <f>(Datenabzug!B329/Datenabzug!B328-1)</f>
        <v>6.0607867251921688E-2</v>
      </c>
      <c r="C329">
        <f>(Datenabzug!C329/Datenabzug!C328-1)</f>
        <v>-8.1190804003982153E-3</v>
      </c>
      <c r="D329">
        <f>(Datenabzug!D329/Datenabzug!D328-1)</f>
        <v>2.0636806409638275E-2</v>
      </c>
      <c r="E329">
        <f>(Datenabzug!E329/Datenabzug!E328-1)</f>
        <v>8.8913242823525085E-3</v>
      </c>
      <c r="F329">
        <f>(Datenabzug!F329/Datenabzug!F328-1)</f>
        <v>5.7833577447157225E-3</v>
      </c>
      <c r="G329">
        <f>(Datenabzug!G329/Datenabzug!G328-1)</f>
        <v>3.8628758542087915E-2</v>
      </c>
      <c r="H329">
        <f>(Datenabzug!H329/Datenabzug!H328-1)</f>
        <v>-8.3648458190237474E-3</v>
      </c>
      <c r="I329">
        <f>(Datenabzug!I329/Datenabzug!I328-1)</f>
        <v>1.296625984905786E-2</v>
      </c>
      <c r="J329">
        <f>(Datenabzug!J329/Datenabzug!J328-1)</f>
        <v>5.3662244009561322E-2</v>
      </c>
      <c r="K329">
        <f>(Datenabzug!K329/Datenabzug!K328-1)</f>
        <v>3.0799562061489816E-3</v>
      </c>
    </row>
    <row r="330" spans="1:11">
      <c r="A330" s="1">
        <v>45771</v>
      </c>
      <c r="B330">
        <f>(Datenabzug!B330/Datenabzug!B329-1)</f>
        <v>2.2567729302326534E-2</v>
      </c>
      <c r="C330">
        <f>(Datenabzug!C330/Datenabzug!C329-1)</f>
        <v>-1.0641264184071297E-2</v>
      </c>
      <c r="D330">
        <f>(Datenabzug!D330/Datenabzug!D329-1)</f>
        <v>3.4482702301761314E-2</v>
      </c>
      <c r="E330">
        <f>(Datenabzug!E330/Datenabzug!E329-1)</f>
        <v>4.5046190261468499E-2</v>
      </c>
      <c r="F330">
        <f>(Datenabzug!F330/Datenabzug!F329-1)</f>
        <v>1.8992883565234653E-2</v>
      </c>
      <c r="G330">
        <f>(Datenabzug!G330/Datenabzug!G329-1)</f>
        <v>3.6218481339714614E-2</v>
      </c>
      <c r="H330">
        <f>(Datenabzug!H330/Datenabzug!H329-1)</f>
        <v>-4.8854137546867848E-2</v>
      </c>
      <c r="I330">
        <f>(Datenabzug!I330/Datenabzug!I329-1)</f>
        <v>1.2679674101275351E-2</v>
      </c>
      <c r="J330">
        <f>(Datenabzug!J330/Datenabzug!J329-1)</f>
        <v>3.4976485922985745E-2</v>
      </c>
      <c r="K330">
        <f>(Datenabzug!K330/Datenabzug!K329-1)</f>
        <v>-5.7172621850480332E-2</v>
      </c>
    </row>
    <row r="331" spans="1:11">
      <c r="A331" s="1">
        <v>45772</v>
      </c>
      <c r="B331">
        <f>(Datenabzug!B331/Datenabzug!B330-1)</f>
        <v>9.5881226260985386E-3</v>
      </c>
      <c r="C331">
        <f>(Datenabzug!C331/Datenabzug!C330-1)</f>
        <v>-8.4113184297703869E-3</v>
      </c>
      <c r="D331">
        <f>(Datenabzug!D331/Datenabzug!D330-1)</f>
        <v>1.1748063395430997E-2</v>
      </c>
      <c r="E331">
        <f>(Datenabzug!E331/Datenabzug!E330-1)</f>
        <v>4.2484835946234867E-3</v>
      </c>
      <c r="F331">
        <f>(Datenabzug!F331/Datenabzug!F330-1)</f>
        <v>-1.4705914219440008E-2</v>
      </c>
      <c r="G331">
        <f>(Datenabzug!G331/Datenabzug!G330-1)</f>
        <v>4.3033046613145221E-2</v>
      </c>
      <c r="H331">
        <f>(Datenabzug!H331/Datenabzug!H330-1)</f>
        <v>-1.4263465106203577E-2</v>
      </c>
      <c r="I331">
        <f>(Datenabzug!I331/Datenabzug!I330-1)</f>
        <v>-5.9625140370600516E-4</v>
      </c>
      <c r="J331">
        <f>(Datenabzug!J331/Datenabzug!J330-1)</f>
        <v>9.8030910115498138E-2</v>
      </c>
      <c r="K331">
        <f>(Datenabzug!K331/Datenabzug!K330-1)</f>
        <v>-1.5860091301841073E-2</v>
      </c>
    </row>
    <row r="332" spans="1:11">
      <c r="A332" s="1">
        <v>45775</v>
      </c>
      <c r="B332">
        <f>(Datenabzug!B332/Datenabzug!B331-1)</f>
        <v>2.4445103557828363E-2</v>
      </c>
      <c r="C332">
        <f>(Datenabzug!C332/Datenabzug!C331-1)</f>
        <v>-1.6687953120710919E-3</v>
      </c>
      <c r="D332">
        <f>(Datenabzug!D332/Datenabzug!D331-1)</f>
        <v>-1.7609177838883161E-3</v>
      </c>
      <c r="E332">
        <f>(Datenabzug!E332/Datenabzug!E331-1)</f>
        <v>8.0342572154743497E-3</v>
      </c>
      <c r="F332">
        <f>(Datenabzug!F332/Datenabzug!F331-1)</f>
        <v>-5.3799998520493997E-3</v>
      </c>
      <c r="G332">
        <f>(Datenabzug!G332/Datenabzug!G331-1)</f>
        <v>-2.0538729957529145E-2</v>
      </c>
      <c r="H332">
        <f>(Datenabzug!H332/Datenabzug!H331-1)</f>
        <v>2.8488420507182255E-3</v>
      </c>
      <c r="I332">
        <f>(Datenabzug!I332/Datenabzug!I331-1)</f>
        <v>1.0739478405124014E-3</v>
      </c>
      <c r="J332">
        <f>(Datenabzug!J332/Datenabzug!J331-1)</f>
        <v>3.2637046356933652E-3</v>
      </c>
      <c r="K332">
        <f>(Datenabzug!K332/Datenabzug!K331-1)</f>
        <v>3.2099085071233269E-3</v>
      </c>
    </row>
    <row r="333" spans="1:11">
      <c r="A333" s="1">
        <v>45776</v>
      </c>
      <c r="B333">
        <f>(Datenabzug!B333/Datenabzug!B332-1)</f>
        <v>-1.6456557692531293E-3</v>
      </c>
      <c r="C333">
        <f>(Datenabzug!C333/Datenabzug!C332-1)</f>
        <v>7.8004081886460241E-3</v>
      </c>
      <c r="D333">
        <f>(Datenabzug!D333/Datenabzug!D332-1)</f>
        <v>7.3627234174533651E-3</v>
      </c>
      <c r="E333">
        <f>(Datenabzug!E333/Datenabzug!E332-1)</f>
        <v>1.3743051656653904E-2</v>
      </c>
      <c r="F333">
        <f>(Datenabzug!F333/Datenabzug!F332-1)</f>
        <v>4.0132557041900885E-3</v>
      </c>
      <c r="G333">
        <f>(Datenabzug!G333/Datenabzug!G332-1)</f>
        <v>2.6671402885078965E-3</v>
      </c>
      <c r="H333">
        <f>(Datenabzug!H333/Datenabzug!H332-1)</f>
        <v>4.1118899055117009E-3</v>
      </c>
      <c r="I333">
        <f>(Datenabzug!I333/Datenabzug!I332-1)</f>
        <v>1.132291691277354E-2</v>
      </c>
      <c r="J333">
        <f>(Datenabzug!J333/Datenabzug!J332-1)</f>
        <v>2.1512501019457675E-2</v>
      </c>
      <c r="K333">
        <f>(Datenabzug!K333/Datenabzug!K332-1)</f>
        <v>-2.012230898572942E-3</v>
      </c>
    </row>
    <row r="334" spans="1:11">
      <c r="A334" s="1">
        <v>45777</v>
      </c>
      <c r="B334">
        <f>(Datenabzug!B334/Datenabzug!B333-1)</f>
        <v>6.8132169954067123E-3</v>
      </c>
      <c r="C334">
        <f>(Datenabzug!C334/Datenabzug!C333-1)</f>
        <v>2.7644112059008741E-3</v>
      </c>
      <c r="D334">
        <f>(Datenabzug!D334/Datenabzug!D333-1)</f>
        <v>3.0961553949715448E-3</v>
      </c>
      <c r="E334">
        <f>(Datenabzug!E334/Datenabzug!E333-1)</f>
        <v>5.4013325535420265E-3</v>
      </c>
      <c r="F334">
        <f>(Datenabzug!F334/Datenabzug!F333-1)</f>
        <v>-1.9812286112018351E-2</v>
      </c>
      <c r="G334">
        <f>(Datenabzug!G334/Datenabzug!G333-1)</f>
        <v>-9.1724261445469413E-4</v>
      </c>
      <c r="H334">
        <f>(Datenabzug!H334/Datenabzug!H333-1)</f>
        <v>9.4558086124529872E-3</v>
      </c>
      <c r="I334">
        <f>(Datenabzug!I334/Datenabzug!I333-1)</f>
        <v>-5.6570376285585033E-2</v>
      </c>
      <c r="J334">
        <f>(Datenabzug!J334/Datenabzug!J333-1)</f>
        <v>-3.379788089731961E-2</v>
      </c>
      <c r="K334">
        <f>(Datenabzug!K334/Datenabzug!K333-1)</f>
        <v>1.7352583022021806E-2</v>
      </c>
    </row>
    <row r="335" spans="1:11">
      <c r="A335" s="1">
        <v>45778</v>
      </c>
      <c r="B335">
        <f>(Datenabzug!B335/Datenabzug!B334-1)</f>
        <v>-1.9100965565570505E-3</v>
      </c>
      <c r="C335">
        <f>(Datenabzug!C335/Datenabzug!C334-1)</f>
        <v>-1.7367355281747154E-2</v>
      </c>
      <c r="D335">
        <f>(Datenabzug!D335/Datenabzug!D334-1)</f>
        <v>7.6253547879177264E-2</v>
      </c>
      <c r="E335">
        <f>(Datenabzug!E335/Datenabzug!E334-1)</f>
        <v>1.5463189174904635E-3</v>
      </c>
      <c r="F335">
        <f>(Datenabzug!F335/Datenabzug!F334-1)</f>
        <v>6.3829225162717051E-3</v>
      </c>
      <c r="G335">
        <f>(Datenabzug!G335/Datenabzug!G334-1)</f>
        <v>2.4697011377147859E-2</v>
      </c>
      <c r="H335">
        <f>(Datenabzug!H335/Datenabzug!H334-1)</f>
        <v>-1.497269179630023E-2</v>
      </c>
      <c r="I335">
        <f>(Datenabzug!I335/Datenabzug!I334-1)</f>
        <v>2.4484675350702645E-2</v>
      </c>
      <c r="J335">
        <f>(Datenabzug!J335/Datenabzug!J334-1)</f>
        <v>-5.8123569150569931E-3</v>
      </c>
      <c r="K335">
        <f>(Datenabzug!K335/Datenabzug!K334-1)</f>
        <v>-4.678426778054634E-3</v>
      </c>
    </row>
    <row r="336" spans="1:11">
      <c r="A336" s="1">
        <v>45779</v>
      </c>
      <c r="B336">
        <f>(Datenabzug!B336/Datenabzug!B335-1)</f>
        <v>1.405220259607276E-2</v>
      </c>
      <c r="C336">
        <f>(Datenabzug!C336/Datenabzug!C335-1)</f>
        <v>5.0498186331231487E-3</v>
      </c>
      <c r="D336">
        <f>(Datenabzug!D336/Datenabzug!D335-1)</f>
        <v>2.3225230654989382E-2</v>
      </c>
      <c r="E336">
        <f>(Datenabzug!E336/Datenabzug!E335-1)</f>
        <v>2.0309333397663831E-2</v>
      </c>
      <c r="F336">
        <f>(Datenabzug!F336/Datenabzug!F335-1)</f>
        <v>3.2241048411669526E-2</v>
      </c>
      <c r="G336">
        <f>(Datenabzug!G336/Datenabzug!G335-1)</f>
        <v>2.589375256786508E-2</v>
      </c>
      <c r="H336">
        <f>(Datenabzug!H336/Datenabzug!H335-1)</f>
        <v>1.4975731575801454E-3</v>
      </c>
      <c r="I336">
        <f>(Datenabzug!I336/Datenabzug!I335-1)</f>
        <v>3.2679003165707821E-2</v>
      </c>
      <c r="J336">
        <f>(Datenabzug!J336/Datenabzug!J335-1)</f>
        <v>2.3848576584255321E-2</v>
      </c>
      <c r="K336">
        <f>(Datenabzug!K336/Datenabzug!K335-1)</f>
        <v>1.8638307761831285E-2</v>
      </c>
    </row>
    <row r="337" spans="1:11">
      <c r="A337" s="1">
        <v>45782</v>
      </c>
      <c r="B337">
        <f>(Datenabzug!B337/Datenabzug!B336-1)</f>
        <v>5.3919980793639688E-3</v>
      </c>
      <c r="C337">
        <f>(Datenabzug!C337/Datenabzug!C336-1)</f>
        <v>6.9780100992877792E-4</v>
      </c>
      <c r="D337">
        <f>(Datenabzug!D337/Datenabzug!D336-1)</f>
        <v>2.0446553860133942E-3</v>
      </c>
      <c r="E337">
        <f>(Datenabzug!E337/Datenabzug!E336-1)</f>
        <v>-1.9394834222537849E-2</v>
      </c>
      <c r="F337">
        <f>(Datenabzug!F337/Datenabzug!F336-1)</f>
        <v>-2.1164046478804543E-2</v>
      </c>
      <c r="G337">
        <f>(Datenabzug!G337/Datenabzug!G336-1)</f>
        <v>-5.9388798418235078E-3</v>
      </c>
      <c r="H337">
        <f>(Datenabzug!H337/Datenabzug!H336-1)</f>
        <v>-1.315893731535589E-2</v>
      </c>
      <c r="I337">
        <f>(Datenabzug!I337/Datenabzug!I336-1)</f>
        <v>-3.5777553416350028E-2</v>
      </c>
      <c r="J337">
        <f>(Datenabzug!J337/Datenabzug!J336-1)</f>
        <v>-2.4198258752220481E-2</v>
      </c>
      <c r="K337">
        <f>(Datenabzug!K337/Datenabzug!K336-1)</f>
        <v>-8.9082761436113378E-3</v>
      </c>
    </row>
    <row r="338" spans="1:11">
      <c r="A338" s="1">
        <v>45783</v>
      </c>
      <c r="B338">
        <f>(Datenabzug!B338/Datenabzug!B337-1)</f>
        <v>-2.6815401801807415E-3</v>
      </c>
      <c r="C338">
        <f>(Datenabzug!C338/Datenabzug!C337-1)</f>
        <v>2.7894720203458512E-4</v>
      </c>
      <c r="D338">
        <f>(Datenabzug!D338/Datenabzug!D337-1)</f>
        <v>-6.5570941386886572E-3</v>
      </c>
      <c r="E338">
        <f>(Datenabzug!E338/Datenabzug!E337-1)</f>
        <v>3.2007853420048527E-3</v>
      </c>
      <c r="F338">
        <f>(Datenabzug!F338/Datenabzug!F337-1)</f>
        <v>-5.4053952712035391E-3</v>
      </c>
      <c r="G338">
        <f>(Datenabzug!G338/Datenabzug!G337-1)</f>
        <v>-2.4599836206642411E-3</v>
      </c>
      <c r="H338">
        <f>(Datenabzug!H338/Datenabzug!H337-1)</f>
        <v>-9.4703112229722608E-3</v>
      </c>
      <c r="I338">
        <f>(Datenabzug!I338/Datenabzug!I337-1)</f>
        <v>1.3715365934871881E-2</v>
      </c>
      <c r="J338">
        <f>(Datenabzug!J338/Datenabzug!J337-1)</f>
        <v>-1.7519458684869482E-2</v>
      </c>
      <c r="K338">
        <f>(Datenabzug!K338/Datenabzug!K337-1)</f>
        <v>-5.6258816883378859E-3</v>
      </c>
    </row>
    <row r="339" spans="1:11">
      <c r="A339" s="1">
        <v>45784</v>
      </c>
      <c r="B339">
        <f>(Datenabzug!B339/Datenabzug!B338-1)</f>
        <v>-2.1510493699296029E-3</v>
      </c>
      <c r="C339">
        <f>(Datenabzug!C339/Datenabzug!C338-1)</f>
        <v>9.4813457468621021E-3</v>
      </c>
      <c r="D339">
        <f>(Datenabzug!D339/Datenabzug!D338-1)</f>
        <v>9.2360776009270396E-5</v>
      </c>
      <c r="E339">
        <f>(Datenabzug!E339/Datenabzug!E338-1)</f>
        <v>1.5575502716959067E-2</v>
      </c>
      <c r="F339">
        <f>(Datenabzug!F339/Datenabzug!F338-1)</f>
        <v>2.769984879473375E-2</v>
      </c>
      <c r="G339">
        <f>(Datenabzug!G339/Datenabzug!G338-1)</f>
        <v>3.1002261828294131E-2</v>
      </c>
      <c r="H339">
        <f>(Datenabzug!H339/Datenabzug!H338-1)</f>
        <v>9.0254098348103717E-3</v>
      </c>
      <c r="I339">
        <f>(Datenabzug!I339/Datenabzug!I338-1)</f>
        <v>-8.4562408793387167E-4</v>
      </c>
      <c r="J339">
        <f>(Datenabzug!J339/Datenabzug!J338-1)</f>
        <v>3.1595972322620014E-3</v>
      </c>
      <c r="K339">
        <f>(Datenabzug!K339/Datenabzug!K338-1)</f>
        <v>-4.974745079523335E-3</v>
      </c>
    </row>
    <row r="340" spans="1:11">
      <c r="A340" s="1">
        <v>45785</v>
      </c>
      <c r="B340">
        <f>(Datenabzug!B340/Datenabzug!B339-1)</f>
        <v>3.3089024953830259E-2</v>
      </c>
      <c r="C340">
        <f>(Datenabzug!C340/Datenabzug!C339-1)</f>
        <v>-1.6989015154812548E-2</v>
      </c>
      <c r="D340">
        <f>(Datenabzug!D340/Datenabzug!D339-1)</f>
        <v>1.1122625157399701E-2</v>
      </c>
      <c r="E340">
        <f>(Datenabzug!E340/Datenabzug!E339-1)</f>
        <v>-9.5031029192554906E-3</v>
      </c>
      <c r="F340">
        <f>(Datenabzug!F340/Datenabzug!F339-1)</f>
        <v>4.9471246573877803E-3</v>
      </c>
      <c r="G340">
        <f>(Datenabzug!G340/Datenabzug!G339-1)</f>
        <v>2.6482472585649397E-3</v>
      </c>
      <c r="H340">
        <f>(Datenabzug!H340/Datenabzug!H339-1)</f>
        <v>-3.7143600522685505E-3</v>
      </c>
      <c r="I340">
        <f>(Datenabzug!I340/Datenabzug!I339-1)</f>
        <v>-6.2870291068051198E-3</v>
      </c>
      <c r="J340">
        <f>(Datenabzug!J340/Datenabzug!J339-1)</f>
        <v>3.1134624811776312E-2</v>
      </c>
      <c r="K340">
        <f>(Datenabzug!K340/Datenabzug!K339-1)</f>
        <v>1.0293511310881076E-2</v>
      </c>
    </row>
    <row r="341" spans="1:11">
      <c r="A341" s="1">
        <v>45786</v>
      </c>
      <c r="B341">
        <f>(Datenabzug!B341/Datenabzug!B340-1)</f>
        <v>1.6431972902553049E-2</v>
      </c>
      <c r="C341">
        <f>(Datenabzug!C341/Datenabzug!C340-1)</f>
        <v>-9.1330269449936274E-3</v>
      </c>
      <c r="D341">
        <f>(Datenabzug!D341/Datenabzug!D340-1)</f>
        <v>1.2780808677645972E-3</v>
      </c>
      <c r="E341">
        <f>(Datenabzug!E341/Datenabzug!E340-1)</f>
        <v>-3.6787595660899841E-3</v>
      </c>
      <c r="F341">
        <f>(Datenabzug!F341/Datenabzug!F340-1)</f>
        <v>-1.035483258438985E-2</v>
      </c>
      <c r="G341">
        <f>(Datenabzug!G341/Datenabzug!G340-1)</f>
        <v>-6.1344927368160995E-3</v>
      </c>
      <c r="H341">
        <f>(Datenabzug!H341/Datenabzug!H340-1)</f>
        <v>-7.5324730504814363E-3</v>
      </c>
      <c r="I341">
        <f>(Datenabzug!I341/Datenabzug!I340-1)</f>
        <v>-2.2995468380038964E-2</v>
      </c>
      <c r="J341">
        <f>(Datenabzug!J341/Datenabzug!J340-1)</f>
        <v>4.7187704851463952E-2</v>
      </c>
      <c r="K341">
        <f>(Datenabzug!K341/Datenabzug!K340-1)</f>
        <v>-3.2345657157617502E-4</v>
      </c>
    </row>
    <row r="342" spans="1:11">
      <c r="A342" s="1">
        <v>45789</v>
      </c>
      <c r="B342">
        <f>(Datenabzug!B342/Datenabzug!B341-1)</f>
        <v>1.8886284631810524E-2</v>
      </c>
      <c r="C342">
        <f>(Datenabzug!C342/Datenabzug!C341-1)</f>
        <v>-1.4038550254512394E-2</v>
      </c>
      <c r="D342">
        <f>(Datenabzug!D342/Datenabzug!D341-1)</f>
        <v>2.4001040839064069E-2</v>
      </c>
      <c r="E342">
        <f>(Datenabzug!E342/Datenabzug!E341-1)</f>
        <v>-2.6503632175890357E-2</v>
      </c>
      <c r="F342">
        <f>(Datenabzug!F342/Datenabzug!F341-1)</f>
        <v>7.3413427654934749E-2</v>
      </c>
      <c r="G342">
        <f>(Datenabzug!G342/Datenabzug!G341-1)</f>
        <v>5.443638732858469E-2</v>
      </c>
      <c r="H342">
        <f>(Datenabzug!H342/Datenabzug!H341-1)</f>
        <v>9.5062108734496054E-3</v>
      </c>
      <c r="I342">
        <f>(Datenabzug!I342/Datenabzug!I341-1)</f>
        <v>6.6874196586998114E-2</v>
      </c>
      <c r="J342">
        <f>(Datenabzug!J342/Datenabzug!J341-1)</f>
        <v>6.745790403814933E-2</v>
      </c>
      <c r="K342">
        <f>(Datenabzug!K342/Datenabzug!K341-1)</f>
        <v>-5.2092664687640733E-3</v>
      </c>
    </row>
    <row r="343" spans="1:11">
      <c r="A343" s="1">
        <v>45790</v>
      </c>
      <c r="B343">
        <f>(Datenabzug!B343/Datenabzug!B342-1)</f>
        <v>2.4631035207355101E-2</v>
      </c>
      <c r="C343">
        <f>(Datenabzug!C343/Datenabzug!C342-1)</f>
        <v>-8.1979450546273425E-3</v>
      </c>
      <c r="D343">
        <f>(Datenabzug!D343/Datenabzug!D342-1)</f>
        <v>-2.6704095954988016E-4</v>
      </c>
      <c r="E343">
        <f>(Datenabzug!E343/Datenabzug!E342-1)</f>
        <v>2.5621568834459429E-2</v>
      </c>
      <c r="F343">
        <f>(Datenabzug!F343/Datenabzug!F342-1)</f>
        <v>-3.0361417393850454E-3</v>
      </c>
      <c r="G343">
        <f>(Datenabzug!G343/Datenabzug!G342-1)</f>
        <v>5.6341406723528387E-2</v>
      </c>
      <c r="H343">
        <f>(Datenabzug!H343/Datenabzug!H342-1)</f>
        <v>-1.04040279672859E-2</v>
      </c>
      <c r="I343">
        <f>(Datenabzug!I343/Datenabzug!I342-1)</f>
        <v>1.4123925681504446E-2</v>
      </c>
      <c r="J343">
        <f>(Datenabzug!J343/Datenabzug!J342-1)</f>
        <v>4.9280740626852948E-2</v>
      </c>
      <c r="K343">
        <f>(Datenabzug!K343/Datenabzug!K342-1)</f>
        <v>-1.0570457654602627E-2</v>
      </c>
    </row>
    <row r="344" spans="1:11">
      <c r="A344" s="1">
        <v>45791</v>
      </c>
      <c r="B344">
        <f>(Datenabzug!B344/Datenabzug!B343-1)</f>
        <v>6.3907337698347888E-3</v>
      </c>
      <c r="C344">
        <f>(Datenabzug!C344/Datenabzug!C343-1)</f>
        <v>2.9003066659247789E-3</v>
      </c>
      <c r="D344">
        <f>(Datenabzug!D344/Datenabzug!D343-1)</f>
        <v>8.4605299047657567E-3</v>
      </c>
      <c r="E344">
        <f>(Datenabzug!E344/Datenabzug!E343-1)</f>
        <v>1.102390066586878E-2</v>
      </c>
      <c r="F344">
        <f>(Datenabzug!F344/Datenabzug!F343-1)</f>
        <v>-1.0578628638021725E-2</v>
      </c>
      <c r="G344">
        <f>(Datenabzug!G344/Datenabzug!G343-1)</f>
        <v>4.163778946059371E-2</v>
      </c>
      <c r="H344">
        <f>(Datenabzug!H344/Datenabzug!H343-1)</f>
        <v>-1.4273602226127058E-2</v>
      </c>
      <c r="I344">
        <f>(Datenabzug!I344/Datenabzug!I343-1)</f>
        <v>-3.9133602625192054E-3</v>
      </c>
      <c r="J344">
        <f>(Datenabzug!J344/Datenabzug!J343-1)</f>
        <v>4.0739919936465308E-2</v>
      </c>
      <c r="K344">
        <f>(Datenabzug!K344/Datenabzug!K343-1)</f>
        <v>-2.7612548908323431E-3</v>
      </c>
    </row>
    <row r="345" spans="1:11">
      <c r="A345" s="1">
        <v>45792</v>
      </c>
      <c r="B345">
        <f>(Datenabzug!B345/Datenabzug!B344-1)</f>
        <v>7.4247961283584463E-3</v>
      </c>
      <c r="C345">
        <f>(Datenabzug!C345/Datenabzug!C344-1)</f>
        <v>3.5425066018083706E-2</v>
      </c>
      <c r="D345">
        <f>(Datenabzug!D345/Datenabzug!D344-1)</f>
        <v>2.2561313934634786E-3</v>
      </c>
      <c r="E345">
        <f>(Datenabzug!E345/Datenabzug!E344-1)</f>
        <v>2.3449370075654841E-2</v>
      </c>
      <c r="F345">
        <f>(Datenabzug!F345/Datenabzug!F344-1)</f>
        <v>1.0853782177123517E-2</v>
      </c>
      <c r="G345">
        <f>(Datenabzug!G345/Datenabzug!G344-1)</f>
        <v>-3.7682830110108423E-3</v>
      </c>
      <c r="H345">
        <f>(Datenabzug!H345/Datenabzug!H344-1)</f>
        <v>2.3744665300026613E-2</v>
      </c>
      <c r="I345">
        <f>(Datenabzug!I345/Datenabzug!I344-1)</f>
        <v>8.3198408477089814E-3</v>
      </c>
      <c r="J345">
        <f>(Datenabzug!J345/Datenabzug!J344-1)</f>
        <v>-1.3978329078299989E-2</v>
      </c>
      <c r="K345">
        <f>(Datenabzug!K345/Datenabzug!K344-1)</f>
        <v>2.188755228769157E-2</v>
      </c>
    </row>
    <row r="346" spans="1:11">
      <c r="A346" s="1">
        <v>45793</v>
      </c>
      <c r="B346">
        <f>(Datenabzug!B346/Datenabzug!B345-1)</f>
        <v>-2.0364534414246682E-3</v>
      </c>
      <c r="C346">
        <f>(Datenabzug!C346/Datenabzug!C345-1)</f>
        <v>5.4461457442971373E-3</v>
      </c>
      <c r="D346">
        <f>(Datenabzug!D346/Datenabzug!D345-1)</f>
        <v>2.5157992597595324E-3</v>
      </c>
      <c r="E346">
        <f>(Datenabzug!E346/Datenabzug!E345-1)</f>
        <v>1.1502783623477342E-2</v>
      </c>
      <c r="F346">
        <f>(Datenabzug!F346/Datenabzug!F345-1)</f>
        <v>1.1378173609071673E-2</v>
      </c>
      <c r="G346">
        <f>(Datenabzug!G346/Datenabzug!G345-1)</f>
        <v>4.2275543100855906E-3</v>
      </c>
      <c r="H346">
        <f>(Datenabzug!H346/Datenabzug!H345-1)</f>
        <v>3.6502065998575972E-3</v>
      </c>
      <c r="I346">
        <f>(Datenabzug!I346/Datenabzug!I345-1)</f>
        <v>-1.2463956284318733E-2</v>
      </c>
      <c r="J346">
        <f>(Datenabzug!J346/Datenabzug!J345-1)</f>
        <v>2.08856061756586E-2</v>
      </c>
      <c r="K346">
        <f>(Datenabzug!K346/Datenabzug!K345-1)</f>
        <v>6.1933016289177356E-3</v>
      </c>
    </row>
    <row r="347" spans="1:11">
      <c r="A347" s="1">
        <v>45796</v>
      </c>
      <c r="B347">
        <f>(Datenabzug!B347/Datenabzug!B346-1)</f>
        <v>-2.7694456512195043E-3</v>
      </c>
      <c r="C347">
        <f>(Datenabzug!C347/Datenabzug!C346-1)</f>
        <v>-9.7219386805014185E-4</v>
      </c>
      <c r="D347">
        <f>(Datenabzug!D347/Datenabzug!D346-1)</f>
        <v>1.0126150119455835E-2</v>
      </c>
      <c r="E347">
        <f>(Datenabzug!E347/Datenabzug!E346-1)</f>
        <v>9.2305983782070555E-5</v>
      </c>
      <c r="F347">
        <f>(Datenabzug!F347/Datenabzug!F346-1)</f>
        <v>-1.6320661741757503E-2</v>
      </c>
      <c r="G347">
        <f>(Datenabzug!G347/Datenabzug!G346-1)</f>
        <v>1.2556128407286149E-3</v>
      </c>
      <c r="H347">
        <f>(Datenabzug!H347/Datenabzug!H346-1)</f>
        <v>-1.4396477614214698E-3</v>
      </c>
      <c r="I347">
        <f>(Datenabzug!I347/Datenabzug!I346-1)</f>
        <v>-1.1218874464139605E-2</v>
      </c>
      <c r="J347">
        <f>(Datenabzug!J347/Datenabzug!J346-1)</f>
        <v>-2.2544186527116317E-2</v>
      </c>
      <c r="K347">
        <f>(Datenabzug!K347/Datenabzug!K346-1)</f>
        <v>6.3797048998848194E-3</v>
      </c>
    </row>
    <row r="348" spans="1:11">
      <c r="A348" s="1">
        <v>45797</v>
      </c>
      <c r="B348">
        <f>(Datenabzug!B348/Datenabzug!B347-1)</f>
        <v>1.1790490469890447E-2</v>
      </c>
      <c r="C348">
        <f>(Datenabzug!C348/Datenabzug!C347-1)</f>
        <v>-3.3365561250187081E-3</v>
      </c>
      <c r="D348">
        <f>(Datenabzug!D348/Datenabzug!D347-1)</f>
        <v>-1.5254466339083006E-3</v>
      </c>
      <c r="E348">
        <f>(Datenabzug!E348/Datenabzug!E347-1)</f>
        <v>3.1889234848514469E-4</v>
      </c>
      <c r="F348">
        <f>(Datenabzug!F348/Datenabzug!F347-1)</f>
        <v>7.7319319796818053E-3</v>
      </c>
      <c r="G348">
        <f>(Datenabzug!G348/Datenabzug!G347-1)</f>
        <v>-8.7778175367028144E-3</v>
      </c>
      <c r="H348">
        <f>(Datenabzug!H348/Datenabzug!H347-1)</f>
        <v>7.5966424006645994E-5</v>
      </c>
      <c r="I348">
        <f>(Datenabzug!I348/Datenabzug!I347-1)</f>
        <v>1.1582504674030103E-2</v>
      </c>
      <c r="J348">
        <f>(Datenabzug!J348/Datenabzug!J347-1)</f>
        <v>5.0571808730099921E-3</v>
      </c>
      <c r="K348">
        <f>(Datenabzug!K348/Datenabzug!K347-1)</f>
        <v>-3.7589762011471795E-3</v>
      </c>
    </row>
    <row r="349" spans="1:11">
      <c r="A349" s="1">
        <v>45798</v>
      </c>
      <c r="B349">
        <f>(Datenabzug!B349/Datenabzug!B348-1)</f>
        <v>-2.1476339839179293E-2</v>
      </c>
      <c r="C349">
        <f>(Datenabzug!C349/Datenabzug!C348-1)</f>
        <v>2.2317816075827501E-3</v>
      </c>
      <c r="D349">
        <f>(Datenabzug!D349/Datenabzug!D348-1)</f>
        <v>-1.2222550449385139E-2</v>
      </c>
      <c r="E349">
        <f>(Datenabzug!E349/Datenabzug!E348-1)</f>
        <v>2.1895482532132693E-3</v>
      </c>
      <c r="F349">
        <f>(Datenabzug!F349/Datenabzug!F348-1)</f>
        <v>-4.1240436248139223E-2</v>
      </c>
      <c r="G349">
        <f>(Datenabzug!G349/Datenabzug!G348-1)</f>
        <v>-1.9199270143614333E-2</v>
      </c>
      <c r="H349">
        <f>(Datenabzug!H349/Datenabzug!H348-1)</f>
        <v>-1.2519111595094223E-2</v>
      </c>
      <c r="I349">
        <f>(Datenabzug!I349/Datenabzug!I348-1)</f>
        <v>-3.0494135911086184E-2</v>
      </c>
      <c r="J349">
        <f>(Datenabzug!J349/Datenabzug!J348-1)</f>
        <v>-2.675822235776848E-2</v>
      </c>
      <c r="K349">
        <f>(Datenabzug!K349/Datenabzug!K348-1)</f>
        <v>-6.1073307740424632E-3</v>
      </c>
    </row>
    <row r="350" spans="1:11">
      <c r="A350" s="1">
        <v>45799</v>
      </c>
      <c r="B350">
        <f>(Datenabzug!B350/Datenabzug!B349-1)</f>
        <v>9.8418848301906614E-4</v>
      </c>
      <c r="C350">
        <f>(Datenabzug!C350/Datenabzug!C349-1)</f>
        <v>-9.881684779988742E-3</v>
      </c>
      <c r="D350">
        <f>(Datenabzug!D350/Datenabzug!D349-1)</f>
        <v>5.0599420869343881E-3</v>
      </c>
      <c r="E350">
        <f>(Datenabzug!E350/Datenabzug!E349-1)</f>
        <v>-5.5749764801390489E-3</v>
      </c>
      <c r="F350">
        <f>(Datenabzug!F350/Datenabzug!F349-1)</f>
        <v>2.2340784124044166E-2</v>
      </c>
      <c r="G350">
        <f>(Datenabzug!G350/Datenabzug!G349-1)</f>
        <v>7.8149413369918985E-3</v>
      </c>
      <c r="H350">
        <f>(Datenabzug!H350/Datenabzug!H349-1)</f>
        <v>-2.3041542930379855E-4</v>
      </c>
      <c r="I350">
        <f>(Datenabzug!I350/Datenabzug!I349-1)</f>
        <v>1.1930559456729384E-2</v>
      </c>
      <c r="J350">
        <f>(Datenabzug!J350/Datenabzug!J349-1)</f>
        <v>1.9185982671136248E-2</v>
      </c>
      <c r="K350">
        <f>(Datenabzug!K350/Datenabzug!K349-1)</f>
        <v>-8.8794095703745857E-3</v>
      </c>
    </row>
    <row r="351" spans="1:11">
      <c r="A351" s="1">
        <v>45800</v>
      </c>
      <c r="B351">
        <f>(Datenabzug!B351/Datenabzug!B350-1)</f>
        <v>-5.1620030129010397E-3</v>
      </c>
      <c r="C351">
        <f>(Datenabzug!C351/Datenabzug!C350-1)</f>
        <v>8.8557349664910578E-3</v>
      </c>
      <c r="D351">
        <f>(Datenabzug!D351/Datenabzug!D350-1)</f>
        <v>-1.0288864324180524E-2</v>
      </c>
      <c r="E351">
        <f>(Datenabzug!E351/Datenabzug!E350-1)</f>
        <v>-2.1717350760668275E-3</v>
      </c>
      <c r="F351">
        <f>(Datenabzug!F351/Datenabzug!F350-1)</f>
        <v>-2.1200235537994216E-2</v>
      </c>
      <c r="G351">
        <f>(Datenabzug!G351/Datenabzug!G350-1)</f>
        <v>-1.1593830945515804E-2</v>
      </c>
      <c r="H351">
        <f>(Datenabzug!H351/Datenabzug!H350-1)</f>
        <v>-5.9944936514991776E-3</v>
      </c>
      <c r="I351">
        <f>(Datenabzug!I351/Datenabzug!I350-1)</f>
        <v>5.1208800634123808E-3</v>
      </c>
      <c r="J351">
        <f>(Datenabzug!J351/Datenabzug!J350-1)</f>
        <v>-4.9847881903483104E-3</v>
      </c>
      <c r="K351">
        <f>(Datenabzug!K351/Datenabzug!K350-1)</f>
        <v>3.0836603460642209E-3</v>
      </c>
    </row>
    <row r="352" spans="1:11">
      <c r="A352" s="1">
        <v>45804</v>
      </c>
      <c r="B352">
        <f>(Datenabzug!B352/Datenabzug!B351-1)</f>
        <v>-6.5724541759413224E-3</v>
      </c>
      <c r="C352">
        <f>(Datenabzug!C352/Datenabzug!C351-1)</f>
        <v>1.3939110070282368E-4</v>
      </c>
      <c r="D352">
        <f>(Datenabzug!D352/Datenabzug!D351-1)</f>
        <v>2.3346239141272207E-2</v>
      </c>
      <c r="E352">
        <f>(Datenabzug!E352/Datenabzug!E351-1)</f>
        <v>2.2085500398275837E-2</v>
      </c>
      <c r="F352">
        <f>(Datenabzug!F352/Datenabzug!F351-1)</f>
        <v>4.6817750363851607E-2</v>
      </c>
      <c r="G352">
        <f>(Datenabzug!G352/Datenabzug!G351-1)</f>
        <v>3.2066371101294733E-2</v>
      </c>
      <c r="H352">
        <f>(Datenabzug!H352/Datenabzug!H351-1)</f>
        <v>1.5694989312030394E-2</v>
      </c>
      <c r="I352">
        <f>(Datenabzug!I352/Datenabzug!I351-1)</f>
        <v>3.0924177288684129E-2</v>
      </c>
      <c r="J352">
        <f>(Datenabzug!J352/Datenabzug!J351-1)</f>
        <v>6.9399477116448116E-2</v>
      </c>
      <c r="K352">
        <f>(Datenabzug!K352/Datenabzug!K351-1)</f>
        <v>1.1746767553810766E-2</v>
      </c>
    </row>
    <row r="353" spans="1:11">
      <c r="A353" s="1">
        <v>45805</v>
      </c>
      <c r="B353">
        <f>(Datenabzug!B353/Datenabzug!B352-1)</f>
        <v>2.3379655949757883E-3</v>
      </c>
      <c r="C353">
        <f>(Datenabzug!C353/Datenabzug!C352-1)</f>
        <v>-8.7767759264236744E-3</v>
      </c>
      <c r="D353">
        <f>(Datenabzug!D353/Datenabzug!D352-1)</f>
        <v>-7.2283250606628435E-3</v>
      </c>
      <c r="E353">
        <f>(Datenabzug!E353/Datenabzug!E352-1)</f>
        <v>-2.4925490023829378E-3</v>
      </c>
      <c r="F353">
        <f>(Datenabzug!F353/Datenabzug!F352-1)</f>
        <v>-1.671181865731719E-2</v>
      </c>
      <c r="G353">
        <f>(Datenabzug!G353/Datenabzug!G352-1)</f>
        <v>-5.0921723054343504E-3</v>
      </c>
      <c r="H353">
        <f>(Datenabzug!H353/Datenabzug!H352-1)</f>
        <v>-5.3284274428159195E-3</v>
      </c>
      <c r="I353">
        <f>(Datenabzug!I353/Datenabzug!I352-1)</f>
        <v>-1.1607885431942022E-2</v>
      </c>
      <c r="J353">
        <f>(Datenabzug!J353/Datenabzug!J352-1)</f>
        <v>-1.650643586254652E-2</v>
      </c>
      <c r="K353">
        <f>(Datenabzug!K353/Datenabzug!K352-1)</f>
        <v>-5.2453695486012197E-3</v>
      </c>
    </row>
    <row r="354" spans="1:11">
      <c r="A354" s="1">
        <v>45806</v>
      </c>
      <c r="B354">
        <f>(Datenabzug!B354/Datenabzug!B353-1)</f>
        <v>3.3151328415786496E-2</v>
      </c>
      <c r="C354">
        <f>(Datenabzug!C354/Datenabzug!C353-1)</f>
        <v>4.7785432619129597E-3</v>
      </c>
      <c r="D354">
        <f>(Datenabzug!D354/Datenabzug!D353-1)</f>
        <v>2.8861451952435502E-3</v>
      </c>
      <c r="E354">
        <f>(Datenabzug!E354/Datenabzug!E353-1)</f>
        <v>-1.9602054130510527E-2</v>
      </c>
      <c r="F354">
        <f>(Datenabzug!F354/Datenabzug!F353-1)</f>
        <v>-5.5034270473787172E-3</v>
      </c>
      <c r="G354">
        <f>(Datenabzug!G354/Datenabzug!G353-1)</f>
        <v>3.2490198708553963E-2</v>
      </c>
      <c r="H354">
        <f>(Datenabzug!H354/Datenabzug!H353-1)</f>
        <v>9.56609674541542E-3</v>
      </c>
      <c r="I354">
        <f>(Datenabzug!I354/Datenabzug!I353-1)</f>
        <v>-2.267438311909542E-2</v>
      </c>
      <c r="J354">
        <f>(Datenabzug!J354/Datenabzug!J353-1)</f>
        <v>4.2869117552879477E-3</v>
      </c>
      <c r="K354">
        <f>(Datenabzug!K354/Datenabzug!K353-1)</f>
        <v>1.3729401002029018E-2</v>
      </c>
    </row>
    <row r="355" spans="1:11">
      <c r="A355" s="1">
        <v>45807</v>
      </c>
      <c r="B355">
        <f>(Datenabzug!B355/Datenabzug!B354-1)</f>
        <v>-4.130970226818631E-3</v>
      </c>
      <c r="C355">
        <f>(Datenabzug!C355/Datenabzug!C354-1)</f>
        <v>8.5327203331313495E-3</v>
      </c>
      <c r="D355">
        <f>(Datenabzug!D355/Datenabzug!D354-1)</f>
        <v>3.6626683147447103E-3</v>
      </c>
      <c r="E355">
        <f>(Datenabzug!E355/Datenabzug!E354-1)</f>
        <v>1.8879863776100514E-2</v>
      </c>
      <c r="F355">
        <f>(Datenabzug!F355/Datenabzug!F354-1)</f>
        <v>-1.3834612161979232E-2</v>
      </c>
      <c r="G355">
        <f>(Datenabzug!G355/Datenabzug!G354-1)</f>
        <v>-2.9168794921521801E-2</v>
      </c>
      <c r="H355">
        <f>(Datenabzug!H355/Datenabzug!H354-1)</f>
        <v>-3.5626938582195011E-3</v>
      </c>
      <c r="I355">
        <f>(Datenabzug!I355/Datenabzug!I354-1)</f>
        <v>-1.1898405697154946E-3</v>
      </c>
      <c r="J355">
        <f>(Datenabzug!J355/Datenabzug!J354-1)</f>
        <v>-3.3395646193957074E-2</v>
      </c>
      <c r="K355">
        <f>(Datenabzug!K355/Datenabzug!K354-1)</f>
        <v>4.0281047907249068E-3</v>
      </c>
    </row>
    <row r="356" spans="1:11">
      <c r="A356" s="1">
        <v>45810</v>
      </c>
      <c r="B356">
        <f>(Datenabzug!B356/Datenabzug!B355-1)</f>
        <v>2.0017334313494395E-2</v>
      </c>
      <c r="C356">
        <f>(Datenabzug!C356/Datenabzug!C355-1)</f>
        <v>-1.3869981736167603E-3</v>
      </c>
      <c r="D356">
        <f>(Datenabzug!D356/Datenabzug!D355-1)</f>
        <v>3.4972975939937534E-3</v>
      </c>
      <c r="E356">
        <f>(Datenabzug!E356/Datenabzug!E355-1)</f>
        <v>9.7330253473639772E-3</v>
      </c>
      <c r="F356">
        <f>(Datenabzug!F356/Datenabzug!F355-1)</f>
        <v>2.2927414846341865E-2</v>
      </c>
      <c r="G356">
        <f>(Datenabzug!G356/Datenabzug!G355-1)</f>
        <v>1.6650659240573296E-2</v>
      </c>
      <c r="H356">
        <f>(Datenabzug!H356/Datenabzug!H355-1)</f>
        <v>-4.1079856283300353E-3</v>
      </c>
      <c r="I356">
        <f>(Datenabzug!I356/Datenabzug!I355-1)</f>
        <v>1.4770762814066529E-2</v>
      </c>
      <c r="J356">
        <f>(Datenabzug!J356/Datenabzug!J355-1)</f>
        <v>-1.0881455598490963E-2</v>
      </c>
      <c r="K356">
        <f>(Datenabzug!K356/Datenabzug!K355-1)</f>
        <v>2.4009391405568348E-3</v>
      </c>
    </row>
    <row r="357" spans="1:11">
      <c r="A357" s="1">
        <v>45811</v>
      </c>
      <c r="B357">
        <f>(Datenabzug!B357/Datenabzug!B356-1)</f>
        <v>9.2684136934979566E-3</v>
      </c>
      <c r="C357">
        <f>(Datenabzug!C357/Datenabzug!C356-1)</f>
        <v>-1.1666539851037494E-2</v>
      </c>
      <c r="D357">
        <f>(Datenabzug!D357/Datenabzug!D356-1)</f>
        <v>2.1646427199983886E-3</v>
      </c>
      <c r="E357">
        <f>(Datenabzug!E357/Datenabzug!E356-1)</f>
        <v>-8.5320438330749315E-4</v>
      </c>
      <c r="F357">
        <f>(Datenabzug!F357/Datenabzug!F356-1)</f>
        <v>1.2993328585768182E-2</v>
      </c>
      <c r="G357">
        <f>(Datenabzug!G357/Datenabzug!G356-1)</f>
        <v>2.7951580362844952E-2</v>
      </c>
      <c r="H357">
        <f>(Datenabzug!H357/Datenabzug!H356-1)</f>
        <v>7.1804787135114623E-3</v>
      </c>
      <c r="I357">
        <f>(Datenabzug!I357/Datenabzug!I356-1)</f>
        <v>1.655119136408878E-2</v>
      </c>
      <c r="J357">
        <f>(Datenabzug!J357/Datenabzug!J356-1)</f>
        <v>4.6105417753912192E-3</v>
      </c>
      <c r="K357">
        <f>(Datenabzug!K357/Datenabzug!K356-1)</f>
        <v>-1.112471408276039E-2</v>
      </c>
    </row>
    <row r="358" spans="1:11">
      <c r="A358" s="1">
        <v>45812</v>
      </c>
      <c r="B358">
        <f>(Datenabzug!B358/Datenabzug!B357-1)</f>
        <v>-6.7937824954370507E-3</v>
      </c>
      <c r="C358">
        <f>(Datenabzug!C358/Datenabzug!C357-1)</f>
        <v>2.9510096761378168E-3</v>
      </c>
      <c r="D358">
        <f>(Datenabzug!D358/Datenabzug!D357-1)</f>
        <v>1.9439572631292368E-3</v>
      </c>
      <c r="E358">
        <f>(Datenabzug!E358/Datenabzug!E357-1)</f>
        <v>1.7833467837791384E-2</v>
      </c>
      <c r="F358">
        <f>(Datenabzug!F358/Datenabzug!F357-1)</f>
        <v>6.4133643214543401E-3</v>
      </c>
      <c r="G358">
        <f>(Datenabzug!G358/Datenabzug!G357-1)</f>
        <v>4.9568035619138584E-3</v>
      </c>
      <c r="H358">
        <f>(Datenabzug!H358/Datenabzug!H357-1)</f>
        <v>-8.3431436347702892E-4</v>
      </c>
      <c r="I358">
        <f>(Datenabzug!I358/Datenabzug!I357-1)</f>
        <v>1.7436514582406692E-2</v>
      </c>
      <c r="J358">
        <f>(Datenabzug!J358/Datenabzug!J357-1)</f>
        <v>-3.5495400733921545E-2</v>
      </c>
      <c r="K358">
        <f>(Datenabzug!K358/Datenabzug!K357-1)</f>
        <v>-1.3863300294862935E-2</v>
      </c>
    </row>
    <row r="359" spans="1:11">
      <c r="A359" s="1">
        <v>45813</v>
      </c>
      <c r="B359">
        <f>(Datenabzug!B359/Datenabzug!B358-1)</f>
        <v>-1.3963541441351479E-2</v>
      </c>
      <c r="C359">
        <f>(Datenabzug!C359/Datenabzug!C358-1)</f>
        <v>-6.4452353091717374E-3</v>
      </c>
      <c r="D359">
        <f>(Datenabzug!D359/Datenabzug!D358-1)</f>
        <v>8.2135029182723862E-3</v>
      </c>
      <c r="E359">
        <f>(Datenabzug!E359/Datenabzug!E358-1)</f>
        <v>8.7604545215143048E-3</v>
      </c>
      <c r="F359">
        <f>(Datenabzug!F359/Datenabzug!F358-1)</f>
        <v>-1.5931541833521523E-3</v>
      </c>
      <c r="G359">
        <f>(Datenabzug!G359/Datenabzug!G358-1)</f>
        <v>-1.3599136278770518E-2</v>
      </c>
      <c r="H359">
        <f>(Datenabzug!H359/Datenabzug!H358-1)</f>
        <v>-4.7821974853221594E-3</v>
      </c>
      <c r="I359">
        <f>(Datenabzug!I359/Datenabzug!I358-1)</f>
        <v>-1.2711414582040281E-2</v>
      </c>
      <c r="J359">
        <f>(Datenabzug!J359/Datenabzug!J358-1)</f>
        <v>-0.14259893789082001</v>
      </c>
      <c r="K359">
        <f>(Datenabzug!K359/Datenabzug!K358-1)</f>
        <v>-5.6878351237096281E-3</v>
      </c>
    </row>
    <row r="360" spans="1:11">
      <c r="A360" s="1">
        <v>45814</v>
      </c>
      <c r="B360">
        <f>(Datenabzug!B360/Datenabzug!B359-1)</f>
        <v>8.5159254756148606E-3</v>
      </c>
      <c r="C360">
        <f>(Datenabzug!C360/Datenabzug!C359-1)</f>
        <v>6.204990952138445E-3</v>
      </c>
      <c r="D360">
        <f>(Datenabzug!D360/Datenabzug!D359-1)</f>
        <v>5.7732044331919585E-3</v>
      </c>
      <c r="E360">
        <f>(Datenabzug!E360/Datenabzug!E359-1)</f>
        <v>-7.237028345633667E-3</v>
      </c>
      <c r="F360">
        <f>(Datenabzug!F360/Datenabzug!F359-1)</f>
        <v>2.0743748510210214E-3</v>
      </c>
      <c r="G360">
        <f>(Datenabzug!G360/Datenabzug!G359-1)</f>
        <v>1.2357980620348652E-2</v>
      </c>
      <c r="H360">
        <f>(Datenabzug!H360/Datenabzug!H359-1)</f>
        <v>2.6448474303426561E-3</v>
      </c>
      <c r="I360">
        <f>(Datenabzug!I360/Datenabzug!I359-1)</f>
        <v>3.0463289929365533E-2</v>
      </c>
      <c r="J360">
        <f>(Datenabzug!J360/Datenabzug!J359-1)</f>
        <v>3.6670186138994865E-2</v>
      </c>
      <c r="K360">
        <f>(Datenabzug!K360/Datenabzug!K359-1)</f>
        <v>5.1028377508537393E-3</v>
      </c>
    </row>
    <row r="361" spans="1:11">
      <c r="A361" s="1">
        <v>45817</v>
      </c>
      <c r="B361">
        <f>(Datenabzug!B361/Datenabzug!B360-1)</f>
        <v>3.1831078548089531E-2</v>
      </c>
      <c r="C361">
        <f>(Datenabzug!C361/Datenabzug!C360-1)</f>
        <v>5.8864109315959201E-3</v>
      </c>
      <c r="D361">
        <f>(Datenabzug!D361/Datenabzug!D360-1)</f>
        <v>5.0384690943197086E-3</v>
      </c>
      <c r="E361">
        <f>(Datenabzug!E361/Datenabzug!E360-1)</f>
        <v>-1.3701507218886855E-2</v>
      </c>
      <c r="F361">
        <f>(Datenabzug!F361/Datenabzug!F360-1)</f>
        <v>-1.4171964975489559E-2</v>
      </c>
      <c r="G361">
        <f>(Datenabzug!G361/Datenabzug!G360-1)</f>
        <v>6.4211530876581158E-3</v>
      </c>
      <c r="H361">
        <f>(Datenabzug!H361/Datenabzug!H360-1)</f>
        <v>-5.3827629074887362E-4</v>
      </c>
      <c r="I361">
        <f>(Datenabzug!I361/Datenabzug!I360-1)</f>
        <v>1.1490392529117432E-2</v>
      </c>
      <c r="J361">
        <f>(Datenabzug!J361/Datenabzug!J360-1)</f>
        <v>4.553761352840402E-2</v>
      </c>
      <c r="K361">
        <f>(Datenabzug!K361/Datenabzug!K360-1)</f>
        <v>-2.6096157805547082E-2</v>
      </c>
    </row>
    <row r="362" spans="1:11">
      <c r="A362" s="1">
        <v>45818</v>
      </c>
      <c r="B362">
        <f>(Datenabzug!B362/Datenabzug!B361-1)</f>
        <v>-8.183526386140616E-3</v>
      </c>
      <c r="C362">
        <f>(Datenabzug!C362/Datenabzug!C361-1)</f>
        <v>8.0813650050182151E-3</v>
      </c>
      <c r="D362">
        <f>(Datenabzug!D362/Datenabzug!D361-1)</f>
        <v>-3.8709393384791513E-3</v>
      </c>
      <c r="E362">
        <f>(Datenabzug!E362/Datenabzug!E361-1)</f>
        <v>-1.7019720109397452E-2</v>
      </c>
      <c r="F362">
        <f>(Datenabzug!F362/Datenabzug!F361-1)</f>
        <v>3.1658844924945084E-2</v>
      </c>
      <c r="G362">
        <f>(Datenabzug!G362/Datenabzug!G361-1)</f>
        <v>9.3248445368925292E-3</v>
      </c>
      <c r="H362">
        <f>(Datenabzug!H362/Datenabzug!H361-1)</f>
        <v>1.4389004467383559E-2</v>
      </c>
      <c r="I362">
        <f>(Datenabzug!I362/Datenabzug!I361-1)</f>
        <v>8.3820685075375323E-3</v>
      </c>
      <c r="J362">
        <f>(Datenabzug!J362/Datenabzug!J361-1)</f>
        <v>5.6743828270030772E-2</v>
      </c>
      <c r="K362">
        <f>(Datenabzug!K362/Datenabzug!K361-1)</f>
        <v>-1.4410521803099985E-2</v>
      </c>
    </row>
    <row r="363" spans="1:11">
      <c r="A363" s="1">
        <v>45819</v>
      </c>
      <c r="B363">
        <f>(Datenabzug!B363/Datenabzug!B362-1)</f>
        <v>-8.0192637176146331E-3</v>
      </c>
      <c r="C363">
        <f>(Datenabzug!C363/Datenabzug!C362-1)</f>
        <v>-3.8700694872937369E-3</v>
      </c>
      <c r="D363">
        <f>(Datenabzug!D363/Datenabzug!D362-1)</f>
        <v>3.6099159963052241E-3</v>
      </c>
      <c r="E363">
        <f>(Datenabzug!E363/Datenabzug!E362-1)</f>
        <v>1.3509255272921017E-2</v>
      </c>
      <c r="F363">
        <f>(Datenabzug!F363/Datenabzug!F362-1)</f>
        <v>-1.1899144109016158E-2</v>
      </c>
      <c r="G363">
        <f>(Datenabzug!G363/Datenabzug!G362-1)</f>
        <v>-7.7805507537309637E-3</v>
      </c>
      <c r="H363">
        <f>(Datenabzug!H363/Datenabzug!H362-1)</f>
        <v>-1.4640126737185288E-2</v>
      </c>
      <c r="I363">
        <f>(Datenabzug!I363/Datenabzug!I362-1)</f>
        <v>4.3311813094771834E-2</v>
      </c>
      <c r="J363">
        <f>(Datenabzug!J363/Datenabzug!J362-1)</f>
        <v>1.0426457165484404E-3</v>
      </c>
      <c r="K363">
        <f>(Datenabzug!K363/Datenabzug!K362-1)</f>
        <v>-2.9309678793897342E-3</v>
      </c>
    </row>
    <row r="364" spans="1:11">
      <c r="A364" s="1">
        <v>45820</v>
      </c>
      <c r="B364">
        <f>(Datenabzug!B364/Datenabzug!B363-1)</f>
        <v>-4.7897196261682207E-2</v>
      </c>
      <c r="C364">
        <f>(Datenabzug!C364/Datenabzug!C363-1)</f>
        <v>2.3588252421273825E-3</v>
      </c>
      <c r="D364">
        <f>(Datenabzug!D364/Datenabzug!D363-1)</f>
        <v>1.3224154848654468E-2</v>
      </c>
      <c r="E364">
        <f>(Datenabzug!E364/Datenabzug!E363-1)</f>
        <v>-3.9757808690420449E-3</v>
      </c>
      <c r="F364">
        <f>(Datenabzug!F364/Datenabzug!F363-1)</f>
        <v>-4.9120800236556184E-3</v>
      </c>
      <c r="G364">
        <f>(Datenabzug!G364/Datenabzug!G363-1)</f>
        <v>1.5192873633879556E-2</v>
      </c>
      <c r="H364">
        <f>(Datenabzug!H364/Datenabzug!H363-1)</f>
        <v>1.8475821924868852E-2</v>
      </c>
      <c r="I364">
        <f>(Datenabzug!I364/Datenabzug!I363-1)</f>
        <v>-1.1217105584134246E-2</v>
      </c>
      <c r="J364">
        <f>(Datenabzug!J364/Datenabzug!J363-1)</f>
        <v>-2.242443246166248E-2</v>
      </c>
      <c r="K364">
        <f>(Datenabzug!K364/Datenabzug!K363-1)</f>
        <v>1.7400966167587573E-2</v>
      </c>
    </row>
    <row r="365" spans="1:11">
      <c r="A365" s="1">
        <v>45821</v>
      </c>
      <c r="B365">
        <f>(Datenabzug!B365/Datenabzug!B364-1)</f>
        <v>-1.6834319881138593E-2</v>
      </c>
      <c r="C365">
        <f>(Datenabzug!C365/Datenabzug!C364-1)</f>
        <v>-9.8982172976767036E-3</v>
      </c>
      <c r="D365">
        <f>(Datenabzug!D365/Datenabzug!D364-1)</f>
        <v>-8.1650629648494233E-3</v>
      </c>
      <c r="E365">
        <f>(Datenabzug!E365/Datenabzug!E364-1)</f>
        <v>-2.3703158056732621E-3</v>
      </c>
      <c r="F365">
        <f>(Datenabzug!F365/Datenabzug!F364-1)</f>
        <v>-3.6146504543651203E-2</v>
      </c>
      <c r="G365">
        <f>(Datenabzug!G365/Datenabzug!G364-1)</f>
        <v>-2.0896543305496507E-2</v>
      </c>
      <c r="H365">
        <f>(Datenabzug!H365/Datenabzug!H364-1)</f>
        <v>-1.0959916211602305E-2</v>
      </c>
      <c r="I365">
        <f>(Datenabzug!I365/Datenabzug!I364-1)</f>
        <v>-1.1238311726287864E-2</v>
      </c>
      <c r="J365">
        <f>(Datenabzug!J365/Datenabzug!J364-1)</f>
        <v>1.9429076154418912E-2</v>
      </c>
      <c r="K365">
        <f>(Datenabzug!K365/Datenabzug!K364-1)</f>
        <v>-1.5874618187467604E-2</v>
      </c>
    </row>
    <row r="366" spans="1:11">
      <c r="A366" s="1">
        <v>45824</v>
      </c>
      <c r="B366">
        <f>(Datenabzug!B366/Datenabzug!B365-1)</f>
        <v>6.8889255869009069E-3</v>
      </c>
      <c r="C366">
        <f>(Datenabzug!C366/Datenabzug!C365-1)</f>
        <v>-7.0402706791569125E-3</v>
      </c>
      <c r="D366">
        <f>(Datenabzug!D366/Datenabzug!D365-1)</f>
        <v>8.8007901056110782E-3</v>
      </c>
      <c r="E366">
        <f>(Datenabzug!E366/Datenabzug!E365-1)</f>
        <v>1.0889700867061203E-2</v>
      </c>
      <c r="F366">
        <f>(Datenabzug!F366/Datenabzug!F365-1)</f>
        <v>2.2633450755176421E-2</v>
      </c>
      <c r="G366">
        <f>(Datenabzug!G366/Datenabzug!G365-1)</f>
        <v>1.9158985682296015E-2</v>
      </c>
      <c r="H366">
        <f>(Datenabzug!H366/Datenabzug!H365-1)</f>
        <v>4.27969073345702E-3</v>
      </c>
      <c r="I366">
        <f>(Datenabzug!I366/Datenabzug!I365-1)</f>
        <v>2.3590093894896302E-3</v>
      </c>
      <c r="J366">
        <f>(Datenabzug!J366/Datenabzug!J365-1)</f>
        <v>1.1742668079332441E-2</v>
      </c>
      <c r="K366">
        <f>(Datenabzug!K366/Datenabzug!K365-1)</f>
        <v>5.0619767802304594E-3</v>
      </c>
    </row>
    <row r="367" spans="1:11">
      <c r="A367" s="1">
        <v>45825</v>
      </c>
      <c r="B367">
        <f>(Datenabzug!B367/Datenabzug!B366-1)</f>
        <v>-7.1393280277366467E-3</v>
      </c>
      <c r="C367">
        <f>(Datenabzug!C367/Datenabzug!C366-1)</f>
        <v>-1.2762250983074819E-2</v>
      </c>
      <c r="D367">
        <f>(Datenabzug!D367/Datenabzug!D366-1)</f>
        <v>-2.2957926073510215E-3</v>
      </c>
      <c r="E367">
        <f>(Datenabzug!E367/Datenabzug!E366-1)</f>
        <v>-3.8192612183162167E-3</v>
      </c>
      <c r="F367">
        <f>(Datenabzug!F367/Datenabzug!F366-1)</f>
        <v>-3.0694692714741789E-2</v>
      </c>
      <c r="G367">
        <f>(Datenabzug!G367/Datenabzug!G366-1)</f>
        <v>-3.9395073232502131E-3</v>
      </c>
      <c r="H367">
        <f>(Datenabzug!H367/Datenabzug!H366-1)</f>
        <v>-1.613279291451919E-2</v>
      </c>
      <c r="I367">
        <f>(Datenabzug!I367/Datenabzug!I366-1)</f>
        <v>-2.0218302858060477E-2</v>
      </c>
      <c r="J367">
        <f>(Datenabzug!J367/Datenabzug!J366-1)</f>
        <v>-3.8829637497946656E-2</v>
      </c>
      <c r="K367">
        <f>(Datenabzug!K367/Datenabzug!K366-1)</f>
        <v>-1.3422671179319501E-4</v>
      </c>
    </row>
    <row r="368" spans="1:11">
      <c r="A368" s="1">
        <v>45826</v>
      </c>
      <c r="B368">
        <f>(Datenabzug!B368/Datenabzug!B367-1)</f>
        <v>-1.2883261269469148E-2</v>
      </c>
      <c r="C368">
        <f>(Datenabzug!C368/Datenabzug!C367-1)</f>
        <v>-5.8891646931101826E-3</v>
      </c>
      <c r="D368">
        <f>(Datenabzug!D368/Datenabzug!D367-1)</f>
        <v>4.6020869595211344E-3</v>
      </c>
      <c r="E368">
        <f>(Datenabzug!E368/Datenabzug!E367-1)</f>
        <v>1.3271359653868053E-3</v>
      </c>
      <c r="F368">
        <f>(Datenabzug!F368/Datenabzug!F367-1)</f>
        <v>-8.1666946411133035E-3</v>
      </c>
      <c r="G368">
        <f>(Datenabzug!G368/Datenabzug!G367-1)</f>
        <v>9.436585181994861E-3</v>
      </c>
      <c r="H368">
        <f>(Datenabzug!H368/Datenabzug!H367-1)</f>
        <v>-1.7014925619736054E-3</v>
      </c>
      <c r="I368">
        <f>(Datenabzug!I368/Datenabzug!I367-1)</f>
        <v>7.5336004912662791E-3</v>
      </c>
      <c r="J368">
        <f>(Datenabzug!J368/Datenabzug!J367-1)</f>
        <v>1.8017959789726978E-2</v>
      </c>
      <c r="K368">
        <f>(Datenabzug!K368/Datenabzug!K367-1)</f>
        <v>-9.7394243984627593E-4</v>
      </c>
    </row>
    <row r="369" spans="1:11">
      <c r="A369" s="1">
        <v>45828</v>
      </c>
      <c r="B369">
        <f>(Datenabzug!B369/Datenabzug!B368-1)</f>
        <v>5.4128255962349048E-3</v>
      </c>
      <c r="C369">
        <f>(Datenabzug!C369/Datenabzug!C368-1)</f>
        <v>-5.3460880143980649E-3</v>
      </c>
      <c r="D369">
        <f>(Datenabzug!D369/Datenabzug!D368-1)</f>
        <v>-5.9137023064342875E-3</v>
      </c>
      <c r="E369">
        <f>(Datenabzug!E369/Datenabzug!E368-1)</f>
        <v>7.4614001797601581E-3</v>
      </c>
      <c r="F369">
        <f>(Datenabzug!F369/Datenabzug!F368-1)</f>
        <v>4.7051353031677401E-3</v>
      </c>
      <c r="G369">
        <f>(Datenabzug!G369/Datenabzug!G368-1)</f>
        <v>-1.120421825607365E-2</v>
      </c>
      <c r="H369">
        <f>(Datenabzug!H369/Datenabzug!H368-1)</f>
        <v>0</v>
      </c>
      <c r="I369">
        <f>(Datenabzug!I369/Datenabzug!I368-1)</f>
        <v>9.1027739314801792E-3</v>
      </c>
      <c r="J369">
        <f>(Datenabzug!J369/Datenabzug!J368-1)</f>
        <v>3.4161115761843774E-4</v>
      </c>
      <c r="K369">
        <f>(Datenabzug!K369/Datenabzug!K368-1)</f>
        <v>5.0420690303722981E-3</v>
      </c>
    </row>
    <row r="370" spans="1:11">
      <c r="A370" s="1">
        <v>45831</v>
      </c>
      <c r="B370">
        <f>(Datenabzug!B370/Datenabzug!B369-1)</f>
        <v>1.2880490860845306E-2</v>
      </c>
      <c r="C370">
        <f>(Datenabzug!C370/Datenabzug!C369-1)</f>
        <v>1.3073817166714852E-2</v>
      </c>
      <c r="D370">
        <f>(Datenabzug!D370/Datenabzug!D369-1)</f>
        <v>1.8014256835916065E-2</v>
      </c>
      <c r="E370">
        <f>(Datenabzug!E370/Datenabzug!E369-1)</f>
        <v>1.7971272174635233E-2</v>
      </c>
      <c r="F370">
        <f>(Datenabzug!F370/Datenabzug!F369-1)</f>
        <v>1.6557916852488308E-2</v>
      </c>
      <c r="G370">
        <f>(Datenabzug!G370/Datenabzug!G369-1)</f>
        <v>2.2244841977951957E-3</v>
      </c>
      <c r="H370">
        <f>(Datenabzug!H370/Datenabzug!H369-1)</f>
        <v>1.5486954782439888E-4</v>
      </c>
      <c r="I370">
        <f>(Datenabzug!I370/Datenabzug!I369-1)</f>
        <v>-8.3763572345904036E-3</v>
      </c>
      <c r="J370">
        <f>(Datenabzug!J370/Datenabzug!J369-1)</f>
        <v>8.2319309387291373E-2</v>
      </c>
      <c r="K370">
        <f>(Datenabzug!K370/Datenabzug!K369-1)</f>
        <v>1.5685660261078649E-2</v>
      </c>
    </row>
    <row r="371" spans="1:11">
      <c r="A371" s="1">
        <v>45832</v>
      </c>
      <c r="B371">
        <f>(Datenabzug!B371/Datenabzug!B370-1)</f>
        <v>-1.8379371202332795E-3</v>
      </c>
      <c r="C371">
        <f>(Datenabzug!C371/Datenabzug!C370-1)</f>
        <v>6.7393351749336361E-3</v>
      </c>
      <c r="D371">
        <f>(Datenabzug!D371/Datenabzug!D370-1)</f>
        <v>8.4567599826377293E-3</v>
      </c>
      <c r="E371">
        <f>(Datenabzug!E371/Datenabzug!E370-1)</f>
        <v>2.0398188723340205E-2</v>
      </c>
      <c r="F371">
        <f>(Datenabzug!F371/Datenabzug!F370-1)</f>
        <v>1.0529769702241287E-2</v>
      </c>
      <c r="G371">
        <f>(Datenabzug!G371/Datenabzug!G370-1)</f>
        <v>2.5872204861707937E-2</v>
      </c>
      <c r="H371">
        <f>(Datenabzug!H371/Datenabzug!H370-1)</f>
        <v>1.5183257955455387E-2</v>
      </c>
      <c r="I371">
        <f>(Datenabzug!I371/Datenabzug!I370-1)</f>
        <v>-9.0967768161575036E-3</v>
      </c>
      <c r="J371">
        <f>(Datenabzug!J371/Datenabzug!J370-1)</f>
        <v>-2.3545920693855416E-2</v>
      </c>
      <c r="K371">
        <f>(Datenabzug!K371/Datenabzug!K370-1)</f>
        <v>-4.3136710220340602E-3</v>
      </c>
    </row>
    <row r="372" spans="1:11">
      <c r="A372" s="1">
        <v>45833</v>
      </c>
      <c r="B372">
        <f>(Datenabzug!B372/Datenabzug!B371-1)</f>
        <v>-1.015232666535304E-2</v>
      </c>
      <c r="C372">
        <f>(Datenabzug!C372/Datenabzug!C371-1)</f>
        <v>-8.2609576786474292E-3</v>
      </c>
      <c r="D372">
        <f>(Datenabzug!D372/Datenabzug!D371-1)</f>
        <v>4.4071815034734119E-3</v>
      </c>
      <c r="E372">
        <f>(Datenabzug!E372/Datenabzug!E371-1)</f>
        <v>-3.0177118432072048E-3</v>
      </c>
      <c r="F372">
        <f>(Datenabzug!F372/Datenabzug!F371-1)</f>
        <v>-9.6059321960222377E-3</v>
      </c>
      <c r="G372">
        <f>(Datenabzug!G372/Datenabzug!G371-1)</f>
        <v>4.3340121207817051E-2</v>
      </c>
      <c r="H372">
        <f>(Datenabzug!H372/Datenabzug!H371-1)</f>
        <v>-2.3120936350534249E-2</v>
      </c>
      <c r="I372">
        <f>(Datenabzug!I372/Datenabzug!I371-1)</f>
        <v>-4.3716013757257866E-3</v>
      </c>
      <c r="J372">
        <f>(Datenabzug!J372/Datenabzug!J371-1)</f>
        <v>-3.7947582404946889E-2</v>
      </c>
      <c r="K372">
        <f>(Datenabzug!K372/Datenabzug!K371-1)</f>
        <v>-1.1905510286987275E-2</v>
      </c>
    </row>
    <row r="373" spans="1:11">
      <c r="A373" s="1">
        <v>45834</v>
      </c>
      <c r="B373">
        <f>(Datenabzug!B373/Datenabzug!B372-1)</f>
        <v>1.8501800138240432E-2</v>
      </c>
      <c r="C373">
        <f>(Datenabzug!C373/Datenabzug!C372-1)</f>
        <v>-2.2978032317378938E-3</v>
      </c>
      <c r="D373">
        <f>(Datenabzug!D373/Datenabzug!D372-1)</f>
        <v>1.0522727992699377E-2</v>
      </c>
      <c r="E373">
        <f>(Datenabzug!E373/Datenabzug!E372-1)</f>
        <v>2.4638340674620673E-2</v>
      </c>
      <c r="F373">
        <f>(Datenabzug!F373/Datenabzug!F372-1)</f>
        <v>2.8111113480185912E-2</v>
      </c>
      <c r="G373">
        <f>(Datenabzug!G373/Datenabzug!G372-1)</f>
        <v>4.6011711820381773E-3</v>
      </c>
      <c r="H373">
        <f>(Datenabzug!H373/Datenabzug!H372-1)</f>
        <v>1.5622320072523621E-3</v>
      </c>
      <c r="I373">
        <f>(Datenabzug!I373/Datenabzug!I372-1)</f>
        <v>8.1229185089362055E-3</v>
      </c>
      <c r="J373">
        <f>(Datenabzug!J373/Datenabzug!J372-1)</f>
        <v>-5.4037218123504926E-3</v>
      </c>
      <c r="K373">
        <f>(Datenabzug!K373/Datenabzug!K372-1)</f>
        <v>1.0141234727368165E-2</v>
      </c>
    </row>
    <row r="374" spans="1:11">
      <c r="A374" s="1">
        <v>45835</v>
      </c>
      <c r="B374">
        <f>(Datenabzug!B374/Datenabzug!B373-1)</f>
        <v>5.9087773287146206E-2</v>
      </c>
      <c r="C374">
        <f>(Datenabzug!C374/Datenabzug!C373-1)</f>
        <v>1.2379452932774759E-2</v>
      </c>
      <c r="D374">
        <f>(Datenabzug!D374/Datenabzug!D373-1)</f>
        <v>-3.0355005097407739E-3</v>
      </c>
      <c r="E374">
        <f>(Datenabzug!E374/Datenabzug!E373-1)</f>
        <v>1.2589215807076837E-2</v>
      </c>
      <c r="F374">
        <f>(Datenabzug!F374/Datenabzug!F373-1)</f>
        <v>0.15190277999566448</v>
      </c>
      <c r="G374">
        <f>(Datenabzug!G374/Datenabzug!G373-1)</f>
        <v>1.7610602840274936E-2</v>
      </c>
      <c r="H374">
        <f>(Datenabzug!H374/Datenabzug!H373-1)</f>
        <v>2.1993386668082815E-2</v>
      </c>
      <c r="I374">
        <f>(Datenabzug!I374/Datenabzug!I373-1)</f>
        <v>2.9399421083111665E-3</v>
      </c>
      <c r="J374">
        <f>(Datenabzug!J374/Datenabzug!J373-1)</f>
        <v>-6.5995269953346147E-3</v>
      </c>
      <c r="K374">
        <f>(Datenabzug!K374/Datenabzug!K373-1)</f>
        <v>8.9128311542900907E-3</v>
      </c>
    </row>
    <row r="375" spans="1:11">
      <c r="A375" s="1">
        <v>45838</v>
      </c>
      <c r="B375">
        <f>(Datenabzug!B375/Datenabzug!B374-1)</f>
        <v>-2.3397828949226263E-2</v>
      </c>
      <c r="C375">
        <f>(Datenabzug!C375/Datenabzug!C374-1)</f>
        <v>5.9718208163042075E-3</v>
      </c>
      <c r="D375">
        <f>(Datenabzug!D375/Datenabzug!D374-1)</f>
        <v>2.9640706808615747E-3</v>
      </c>
      <c r="E375">
        <f>(Datenabzug!E375/Datenabzug!E374-1)</f>
        <v>1.2100194861171421E-2</v>
      </c>
      <c r="F375">
        <f>(Datenabzug!F375/Datenabzug!F374-1)</f>
        <v>-1.3881176947409868E-2</v>
      </c>
      <c r="G375">
        <f>(Datenabzug!G375/Datenabzug!G374-1)</f>
        <v>1.5214294336862721E-3</v>
      </c>
      <c r="H375">
        <f>(Datenabzug!H375/Datenabzug!H374-1)</f>
        <v>7.6312580222470672E-3</v>
      </c>
      <c r="I375">
        <f>(Datenabzug!I375/Datenabzug!I374-1)</f>
        <v>-5.2111969791873713E-3</v>
      </c>
      <c r="J375">
        <f>(Datenabzug!J375/Datenabzug!J374-1)</f>
        <v>-1.8446995428822444E-2</v>
      </c>
      <c r="K375">
        <f>(Datenabzug!K375/Datenabzug!K374-1)</f>
        <v>9.6185966035013948E-3</v>
      </c>
    </row>
    <row r="376" spans="1:11">
      <c r="A376" s="1">
        <v>45839</v>
      </c>
      <c r="B376">
        <f>(Datenabzug!B376/Datenabzug!B375-1)</f>
        <v>1.2408462193991276E-3</v>
      </c>
      <c r="C376">
        <f>(Datenabzug!C376/Datenabzug!C375-1)</f>
        <v>1.3003507688272853E-2</v>
      </c>
      <c r="D376">
        <f>(Datenabzug!D376/Datenabzug!D375-1)</f>
        <v>-1.0775850565285405E-2</v>
      </c>
      <c r="E376">
        <f>(Datenabzug!E376/Datenabzug!E375-1)</f>
        <v>-3.3999708117110283E-2</v>
      </c>
      <c r="F376">
        <f>(Datenabzug!F376/Datenabzug!F375-1)</f>
        <v>3.3361524719011992E-2</v>
      </c>
      <c r="G376">
        <f>(Datenabzug!G376/Datenabzug!G375-1)</f>
        <v>-2.9685437548832461E-2</v>
      </c>
      <c r="H376">
        <f>(Datenabzug!H376/Datenabzug!H375-1)</f>
        <v>2.4386560015382974E-2</v>
      </c>
      <c r="I376">
        <f>(Datenabzug!I376/Datenabzug!I375-1)</f>
        <v>3.5905282267207239E-2</v>
      </c>
      <c r="J376">
        <f>(Datenabzug!J376/Datenabzug!J375-1)</f>
        <v>-5.3358975041316481E-2</v>
      </c>
      <c r="K376">
        <f>(Datenabzug!K376/Datenabzug!K375-1)</f>
        <v>3.6214856494680703E-3</v>
      </c>
    </row>
    <row r="377" spans="1:11">
      <c r="A377" s="1">
        <v>45840</v>
      </c>
      <c r="B377">
        <f>(Datenabzug!B377/Datenabzug!B376-1)</f>
        <v>1.0677370536491093E-2</v>
      </c>
      <c r="C377">
        <f>(Datenabzug!C377/Datenabzug!C376-1)</f>
        <v>-1.0604081571824353E-2</v>
      </c>
      <c r="D377">
        <f>(Datenabzug!D377/Datenabzug!D376-1)</f>
        <v>-1.951003920117822E-3</v>
      </c>
      <c r="E377">
        <f>(Datenabzug!E377/Datenabzug!E376-1)</f>
        <v>-6.7563314775197503E-3</v>
      </c>
      <c r="F377">
        <f>(Datenabzug!F377/Datenabzug!F376-1)</f>
        <v>4.0593864308403838E-2</v>
      </c>
      <c r="G377">
        <f>(Datenabzug!G377/Datenabzug!G376-1)</f>
        <v>2.5766450551924835E-2</v>
      </c>
      <c r="H377">
        <f>(Datenabzug!H377/Datenabzug!H376-1)</f>
        <v>9.0196752199509511E-3</v>
      </c>
      <c r="I377">
        <f>(Datenabzug!I377/Datenabzug!I376-1)</f>
        <v>-7.7960164142913957E-3</v>
      </c>
      <c r="J377">
        <f>(Datenabzug!J377/Datenabzug!J376-1)</f>
        <v>4.9682427807317575E-2</v>
      </c>
      <c r="K377">
        <f>(Datenabzug!K377/Datenabzug!K376-1)</f>
        <v>-1.0240219909909309E-2</v>
      </c>
    </row>
    <row r="378" spans="1:11">
      <c r="A378" s="1">
        <v>45841</v>
      </c>
      <c r="B378">
        <f>(Datenabzug!B378/Datenabzug!B377-1)</f>
        <v>1.8346457633564128E-2</v>
      </c>
      <c r="C378">
        <f>(Datenabzug!C378/Datenabzug!C377-1)</f>
        <v>6.2049751697714761E-3</v>
      </c>
      <c r="D378">
        <f>(Datenabzug!D378/Datenabzug!D377-1)</f>
        <v>1.5781221482401575E-2</v>
      </c>
      <c r="E378">
        <f>(Datenabzug!E378/Datenabzug!E377-1)</f>
        <v>9.5886466228449763E-3</v>
      </c>
      <c r="F378">
        <f>(Datenabzug!F378/Datenabzug!F377-1)</f>
        <v>0</v>
      </c>
      <c r="G378">
        <f>(Datenabzug!G378/Datenabzug!G377-1)</f>
        <v>1.3290914708362411E-2</v>
      </c>
      <c r="H378">
        <f>(Datenabzug!H378/Datenabzug!H377-1)</f>
        <v>-8.0597221509515204E-3</v>
      </c>
      <c r="I378">
        <f>(Datenabzug!I378/Datenabzug!I377-1)</f>
        <v>2.7606937289021971E-3</v>
      </c>
      <c r="J378">
        <f>(Datenabzug!J378/Datenabzug!J377-1)</f>
        <v>-9.5038111442946605E-4</v>
      </c>
      <c r="K378">
        <f>(Datenabzug!K378/Datenabzug!K377-1)</f>
        <v>7.1602944706796734E-3</v>
      </c>
    </row>
    <row r="379" spans="1:11">
      <c r="A379" s="1">
        <v>45845</v>
      </c>
      <c r="B379">
        <f>(Datenabzug!B379/Datenabzug!B378-1)</f>
        <v>1.2550975995037517E-2</v>
      </c>
      <c r="C379">
        <f>(Datenabzug!C379/Datenabzug!C378-1)</f>
        <v>-4.7651905418611973E-3</v>
      </c>
      <c r="D379">
        <f>(Datenabzug!D379/Datenabzug!D378-1)</f>
        <v>-2.245199112759888E-3</v>
      </c>
      <c r="E379">
        <f>(Datenabzug!E379/Datenabzug!E378-1)</f>
        <v>-5.8280718795532538E-3</v>
      </c>
      <c r="F379">
        <f>(Datenabzug!F379/Datenabzug!F378-1)</f>
        <v>1.8326926399658827E-3</v>
      </c>
      <c r="G379">
        <f>(Datenabzug!G379/Datenabzug!G378-1)</f>
        <v>-6.9034195431597611E-3</v>
      </c>
      <c r="H379">
        <f>(Datenabzug!H379/Datenabzug!H378-1)</f>
        <v>-6.8696107329515588E-3</v>
      </c>
      <c r="I379">
        <f>(Datenabzug!I379/Datenabzug!I378-1)</f>
        <v>-8.471018965232946E-3</v>
      </c>
      <c r="J379">
        <f>(Datenabzug!J379/Datenabzug!J378-1)</f>
        <v>-6.7892827803152311E-2</v>
      </c>
      <c r="K379">
        <f>(Datenabzug!K379/Datenabzug!K378-1)</f>
        <v>-4.3700325836643072E-3</v>
      </c>
    </row>
    <row r="380" spans="1:11">
      <c r="A380" s="1">
        <v>45846</v>
      </c>
      <c r="B380">
        <f>(Datenabzug!B380/Datenabzug!B379-1)</f>
        <v>-5.0313592780160121E-4</v>
      </c>
      <c r="C380">
        <f>(Datenabzug!C380/Datenabzug!C379-1)</f>
        <v>-1.0843603003752422E-2</v>
      </c>
      <c r="D380">
        <f>(Datenabzug!D380/Datenabzug!D379-1)</f>
        <v>-2.2100902130076649E-3</v>
      </c>
      <c r="E380">
        <f>(Datenabzug!E380/Datenabzug!E379-1)</f>
        <v>-1.1096242751826857E-2</v>
      </c>
      <c r="F380">
        <f>(Datenabzug!F380/Datenabzug!F379-1)</f>
        <v>-3.4104281353491639E-2</v>
      </c>
      <c r="G380">
        <f>(Datenabzug!G380/Datenabzug!G379-1)</f>
        <v>1.1122310703610472E-2</v>
      </c>
      <c r="H380">
        <f>(Datenabzug!H380/Datenabzug!H379-1)</f>
        <v>4.3882212813819432E-3</v>
      </c>
      <c r="I380">
        <f>(Datenabzug!I380/Datenabzug!I379-1)</f>
        <v>1.3882988682521358E-2</v>
      </c>
      <c r="J380">
        <f>(Datenabzug!J380/Datenabzug!J379-1)</f>
        <v>1.3165935514198868E-2</v>
      </c>
      <c r="K380">
        <f>(Datenabzug!K380/Datenabzug!K379-1)</f>
        <v>-6.8782005723633244E-4</v>
      </c>
    </row>
    <row r="381" spans="1:11">
      <c r="A381" s="1">
        <v>45847</v>
      </c>
      <c r="B381">
        <f>(Datenabzug!B381/Datenabzug!B380-1)</f>
        <v>3.6976028157955421E-2</v>
      </c>
      <c r="C381">
        <f>(Datenabzug!C381/Datenabzug!C380-1)</f>
        <v>-1.0819967681518383E-2</v>
      </c>
      <c r="D381">
        <f>(Datenabzug!D381/Datenabzug!D380-1)</f>
        <v>1.3873816431439145E-2</v>
      </c>
      <c r="E381">
        <f>(Datenabzug!E381/Datenabzug!E380-1)</f>
        <v>1.01700528555555E-2</v>
      </c>
      <c r="F381">
        <f>(Datenabzug!F381/Datenabzug!F380-1)</f>
        <v>-4.8701382476880051E-3</v>
      </c>
      <c r="G381">
        <f>(Datenabzug!G381/Datenabzug!G380-1)</f>
        <v>1.8000030517574928E-2</v>
      </c>
      <c r="H381">
        <f>(Datenabzug!H381/Datenabzug!H380-1)</f>
        <v>-4.1469015583140978E-3</v>
      </c>
      <c r="I381">
        <f>(Datenabzug!I381/Datenabzug!I380-1)</f>
        <v>3.265194339816091E-3</v>
      </c>
      <c r="J381">
        <f>(Datenabzug!J381/Datenabzug!J380-1)</f>
        <v>-6.4806174796105953E-3</v>
      </c>
      <c r="K381">
        <f>(Datenabzug!K381/Datenabzug!K380-1)</f>
        <v>1.1209851089143186E-2</v>
      </c>
    </row>
    <row r="382" spans="1:11">
      <c r="A382" s="1">
        <v>45848</v>
      </c>
      <c r="B382">
        <f>(Datenabzug!B382/Datenabzug!B381-1)</f>
        <v>-2.2507049950917235E-3</v>
      </c>
      <c r="C382">
        <f>(Datenabzug!C382/Datenabzug!C381-1)</f>
        <v>4.1737661502843082E-3</v>
      </c>
      <c r="D382">
        <f>(Datenabzug!D382/Datenabzug!D381-1)</f>
        <v>-4.0316949810826896E-3</v>
      </c>
      <c r="E382">
        <f>(Datenabzug!E382/Datenabzug!E381-1)</f>
        <v>-2.92561109537115E-2</v>
      </c>
      <c r="F382">
        <f>(Datenabzug!F382/Datenabzug!F381-1)</f>
        <v>1.4410076443300168E-2</v>
      </c>
      <c r="G382">
        <f>(Datenabzug!G382/Datenabzug!G381-1)</f>
        <v>7.4901840872412251E-3</v>
      </c>
      <c r="H382">
        <f>(Datenabzug!H382/Datenabzug!H381-1)</f>
        <v>1.1897725716445429E-2</v>
      </c>
      <c r="I382">
        <f>(Datenabzug!I382/Datenabzug!I381-1)</f>
        <v>-1.049852746678126E-3</v>
      </c>
      <c r="J382">
        <f>(Datenabzug!J382/Datenabzug!J381-1)</f>
        <v>4.7282648382799497E-2</v>
      </c>
      <c r="K382">
        <f>(Datenabzug!K382/Datenabzug!K381-1)</f>
        <v>4.246207633872956E-3</v>
      </c>
    </row>
    <row r="383" spans="1:11">
      <c r="A383" s="1">
        <v>45849</v>
      </c>
      <c r="B383">
        <f>(Datenabzug!B383/Datenabzug!B382-1)</f>
        <v>3.3172630905753397E-3</v>
      </c>
      <c r="C383">
        <f>(Datenabzug!C383/Datenabzug!C382-1)</f>
        <v>1.4333683291860577E-3</v>
      </c>
      <c r="D383">
        <f>(Datenabzug!D383/Datenabzug!D382-1)</f>
        <v>3.6691319645443254E-3</v>
      </c>
      <c r="E383">
        <f>(Datenabzug!E383/Datenabzug!E382-1)</f>
        <v>-4.38191623035733E-3</v>
      </c>
      <c r="F383">
        <f>(Datenabzug!F383/Datenabzug!F382-1)</f>
        <v>-2.6668526131289338E-2</v>
      </c>
      <c r="G383">
        <f>(Datenabzug!G383/Datenabzug!G382-1)</f>
        <v>4.9969045394961942E-3</v>
      </c>
      <c r="H383">
        <f>(Datenabzug!H383/Datenabzug!H382-1)</f>
        <v>-6.0259208787861729E-3</v>
      </c>
      <c r="I383">
        <f>(Datenabzug!I383/Datenabzug!I382-1)</f>
        <v>-2.2070318560698521E-3</v>
      </c>
      <c r="J383">
        <f>(Datenabzug!J383/Datenabzug!J382-1)</f>
        <v>1.1746909045070364E-2</v>
      </c>
      <c r="K383">
        <f>(Datenabzug!K383/Datenabzug!K382-1)</f>
        <v>-8.0692012810644753E-3</v>
      </c>
    </row>
    <row r="384" spans="1:11">
      <c r="A384" s="1">
        <v>45852</v>
      </c>
      <c r="B384">
        <f>(Datenabzug!B384/Datenabzug!B383-1)</f>
        <v>1.6178796632840386E-2</v>
      </c>
      <c r="C384">
        <f>(Datenabzug!C384/Datenabzug!C383-1)</f>
        <v>-5.7249393180891506E-3</v>
      </c>
      <c r="D384">
        <f>(Datenabzug!D384/Datenabzug!D383-1)</f>
        <v>-5.9607865012556438E-4</v>
      </c>
      <c r="E384">
        <f>(Datenabzug!E384/Datenabzug!E383-1)</f>
        <v>1.3524882153728157E-2</v>
      </c>
      <c r="F384">
        <f>(Datenabzug!F384/Datenabzug!F383-1)</f>
        <v>-5.2319601788228809E-3</v>
      </c>
      <c r="G384">
        <f>(Datenabzug!G384/Datenabzug!G383-1)</f>
        <v>-5.1539586112306912E-3</v>
      </c>
      <c r="H384">
        <f>(Datenabzug!H384/Datenabzug!H383-1)</f>
        <v>2.291977154910585E-3</v>
      </c>
      <c r="I384">
        <f>(Datenabzug!I384/Datenabzug!I383-1)</f>
        <v>-1.6010156239452233E-2</v>
      </c>
      <c r="J384">
        <f>(Datenabzug!J384/Datenabzug!J383-1)</f>
        <v>1.0813001260767674E-2</v>
      </c>
      <c r="K384">
        <f>(Datenabzug!K384/Datenabzug!K383-1)</f>
        <v>5.9221895120511459E-3</v>
      </c>
    </row>
    <row r="385" spans="1:11">
      <c r="A385" s="1">
        <v>45853</v>
      </c>
      <c r="B385">
        <f>(Datenabzug!B385/Datenabzug!B384-1)</f>
        <v>-2.2124615807922465E-3</v>
      </c>
      <c r="C385">
        <f>(Datenabzug!C385/Datenabzug!C384-1)</f>
        <v>-1.5834260604390415E-3</v>
      </c>
      <c r="D385">
        <f>(Datenabzug!D385/Datenabzug!D384-1)</f>
        <v>5.5664155932197978E-3</v>
      </c>
      <c r="E385">
        <f>(Datenabzug!E385/Datenabzug!E384-1)</f>
        <v>-1.3312189117008488E-3</v>
      </c>
      <c r="F385">
        <f>(Datenabzug!F385/Datenabzug!F384-1)</f>
        <v>-3.5986454841591131E-3</v>
      </c>
      <c r="G385">
        <f>(Datenabzug!G385/Datenabzug!G384-1)</f>
        <v>4.040951623121769E-2</v>
      </c>
      <c r="H385">
        <f>(Datenabzug!H385/Datenabzug!H384-1)</f>
        <v>-1.2982294538171013E-2</v>
      </c>
      <c r="I385">
        <f>(Datenabzug!I385/Datenabzug!I384-1)</f>
        <v>-1.0062029869790545E-2</v>
      </c>
      <c r="J385">
        <f>(Datenabzug!J385/Datenabzug!J384-1)</f>
        <v>-1.9312070795391212E-2</v>
      </c>
      <c r="K385">
        <f>(Datenabzug!K385/Datenabzug!K384-1)</f>
        <v>-1.5365205974392615E-2</v>
      </c>
    </row>
    <row r="386" spans="1:11">
      <c r="A386" s="1">
        <v>45854</v>
      </c>
      <c r="B386">
        <f>(Datenabzug!B386/Datenabzug!B385-1)</f>
        <v>-4.3480914572169294E-4</v>
      </c>
      <c r="C386">
        <f>(Datenabzug!C386/Datenabzug!C385-1)</f>
        <v>-1.2976350417112092E-3</v>
      </c>
      <c r="D386">
        <f>(Datenabzug!D386/Datenabzug!D385-1)</f>
        <v>-3.9542169968542762E-4</v>
      </c>
      <c r="E386">
        <f>(Datenabzug!E386/Datenabzug!E385-1)</f>
        <v>-7.9030372722859177E-3</v>
      </c>
      <c r="F386">
        <f>(Datenabzug!F386/Datenabzug!F385-1)</f>
        <v>1.5279985222356185E-3</v>
      </c>
      <c r="G386">
        <f>(Datenabzug!G386/Datenabzug!G385-1)</f>
        <v>3.9250039890050825E-3</v>
      </c>
      <c r="H386">
        <f>(Datenabzug!H386/Datenabzug!H385-1)</f>
        <v>1.1508919908975068E-2</v>
      </c>
      <c r="I386">
        <f>(Datenabzug!I386/Datenabzug!I385-1)</f>
        <v>3.2438125224776293E-4</v>
      </c>
      <c r="J386">
        <f>(Datenabzug!J386/Datenabzug!J385-1)</f>
        <v>3.5040912192588092E-2</v>
      </c>
      <c r="K386">
        <f>(Datenabzug!K386/Datenabzug!K385-1)</f>
        <v>1.0512768275755979E-2</v>
      </c>
    </row>
    <row r="387" spans="1:11">
      <c r="A387" s="1">
        <v>45855</v>
      </c>
      <c r="B387">
        <f>(Datenabzug!B387/Datenabzug!B386-1)</f>
        <v>4.7847156708116234E-3</v>
      </c>
      <c r="C387">
        <f>(Datenabzug!C387/Datenabzug!C386-1)</f>
        <v>1.9055864859152116E-2</v>
      </c>
      <c r="D387">
        <f>(Datenabzug!D387/Datenabzug!D386-1)</f>
        <v>1.2024874705429456E-2</v>
      </c>
      <c r="E387">
        <f>(Datenabzug!E387/Datenabzug!E386-1)</f>
        <v>1.9083254739544975E-2</v>
      </c>
      <c r="F387">
        <f>(Datenabzug!F387/Datenabzug!F386-1)</f>
        <v>1.2205338438784574E-2</v>
      </c>
      <c r="G387">
        <f>(Datenabzug!G387/Datenabzug!G386-1)</f>
        <v>9.5116118880576028E-3</v>
      </c>
      <c r="H387">
        <f>(Datenabzug!H387/Datenabzug!H386-1)</f>
        <v>7.4547439105205671E-2</v>
      </c>
      <c r="I387">
        <f>(Datenabzug!I387/Datenabzug!I386-1)</f>
        <v>7.3505598256762283E-3</v>
      </c>
      <c r="J387">
        <f>(Datenabzug!J387/Datenabzug!J386-1)</f>
        <v>-7.0258639950370183E-3</v>
      </c>
      <c r="K387">
        <f>(Datenabzug!K387/Datenabzug!K386-1)</f>
        <v>-2.9259530777955289E-3</v>
      </c>
    </row>
    <row r="388" spans="1:11">
      <c r="A388" s="1">
        <v>45856</v>
      </c>
      <c r="B388">
        <f>(Datenabzug!B388/Datenabzug!B387-1)</f>
        <v>-7.1861630394371989E-3</v>
      </c>
      <c r="C388">
        <f>(Datenabzug!C388/Datenabzug!C387-1)</f>
        <v>-1.0483041537888482E-2</v>
      </c>
      <c r="D388">
        <f>(Datenabzug!D388/Datenabzug!D387-1)</f>
        <v>-3.2245932669539012E-3</v>
      </c>
      <c r="E388">
        <f>(Datenabzug!E388/Datenabzug!E387-1)</f>
        <v>-5.0958703682824069E-2</v>
      </c>
      <c r="F388">
        <f>(Datenabzug!F388/Datenabzug!F387-1)</f>
        <v>-6.9882448995810531E-3</v>
      </c>
      <c r="G388">
        <f>(Datenabzug!G388/Datenabzug!G387-1)</f>
        <v>-3.4103834560172963E-3</v>
      </c>
      <c r="H388">
        <f>(Datenabzug!H388/Datenabzug!H387-1)</f>
        <v>-1.5126491414412024E-2</v>
      </c>
      <c r="I388">
        <f>(Datenabzug!I388/Datenabzug!I387-1)</f>
        <v>6.5457730912190648E-3</v>
      </c>
      <c r="J388">
        <f>(Datenabzug!J388/Datenabzug!J387-1)</f>
        <v>3.2059078040672429E-2</v>
      </c>
      <c r="K388">
        <f>(Datenabzug!K388/Datenabzug!K387-1)</f>
        <v>5.184376162355564E-3</v>
      </c>
    </row>
    <row r="389" spans="1:11">
      <c r="A389" s="1">
        <v>45859</v>
      </c>
      <c r="B389">
        <f>(Datenabzug!B389/Datenabzug!B388-1)</f>
        <v>-8.7158864529368607E-5</v>
      </c>
      <c r="C389">
        <f>(Datenabzug!C389/Datenabzug!C388-1)</f>
        <v>3.1496238440809066E-3</v>
      </c>
      <c r="D389">
        <f>(Datenabzug!D389/Datenabzug!D388-1)</f>
        <v>1.9625067865014501E-5</v>
      </c>
      <c r="E389">
        <f>(Datenabzug!E389/Datenabzug!E388-1)</f>
        <v>1.9872010098030746E-2</v>
      </c>
      <c r="F389">
        <f>(Datenabzug!F389/Datenabzug!F388-1)</f>
        <v>2.1388097091966207E-2</v>
      </c>
      <c r="G389">
        <f>(Datenabzug!G389/Datenabzug!G388-1)</f>
        <v>-5.9741242237638659E-3</v>
      </c>
      <c r="H389">
        <f>(Datenabzug!H389/Datenabzug!H388-1)</f>
        <v>-1.0751246061600495E-2</v>
      </c>
      <c r="I389">
        <f>(Datenabzug!I389/Datenabzug!I388-1)</f>
        <v>-1.2153511221310476E-2</v>
      </c>
      <c r="J389">
        <f>(Datenabzug!J389/Datenabzug!J388-1)</f>
        <v>-3.5188948387278041E-3</v>
      </c>
      <c r="K389">
        <f>(Datenabzug!K389/Datenabzug!K388-1)</f>
        <v>-1.8035544247466784E-2</v>
      </c>
    </row>
    <row r="390" spans="1:11">
      <c r="A390" s="1">
        <v>45860</v>
      </c>
      <c r="B390">
        <f>(Datenabzug!B390/Datenabzug!B389-1)</f>
        <v>-3.6630541158643171E-3</v>
      </c>
      <c r="C390">
        <f>(Datenabzug!C390/Datenabzug!C389-1)</f>
        <v>-5.8512349721786538E-3</v>
      </c>
      <c r="D390">
        <f>(Datenabzug!D390/Datenabzug!D389-1)</f>
        <v>-9.3910688308226353E-3</v>
      </c>
      <c r="E390">
        <f>(Datenabzug!E390/Datenabzug!E389-1)</f>
        <v>-3.5020768195586194E-2</v>
      </c>
      <c r="F390">
        <f>(Datenabzug!F390/Datenabzug!F389-1)</f>
        <v>1.8508549158524179E-2</v>
      </c>
      <c r="G390">
        <f>(Datenabzug!G390/Datenabzug!G389-1)</f>
        <v>-2.5382226511724504E-2</v>
      </c>
      <c r="H390">
        <f>(Datenabzug!H390/Datenabzug!H389-1)</f>
        <v>3.0628062324343119E-2</v>
      </c>
      <c r="I390">
        <f>(Datenabzug!I390/Datenabzug!I389-1)</f>
        <v>4.6190358408620291E-2</v>
      </c>
      <c r="J390">
        <f>(Datenabzug!J390/Datenabzug!J389-1)</f>
        <v>1.1020107841350546E-2</v>
      </c>
      <c r="K390">
        <f>(Datenabzug!K390/Datenabzug!K389-1)</f>
        <v>1.9589034922927295E-2</v>
      </c>
    </row>
    <row r="391" spans="1:11">
      <c r="A391" s="1">
        <v>45861</v>
      </c>
      <c r="B391">
        <f>(Datenabzug!B391/Datenabzug!B390-1)</f>
        <v>2.3634494293813146E-2</v>
      </c>
      <c r="C391">
        <f>(Datenabzug!C391/Datenabzug!C390-1)</f>
        <v>-7.177719978673669E-3</v>
      </c>
      <c r="D391">
        <f>(Datenabzug!D391/Datenabzug!D390-1)</f>
        <v>1.1874960250206623E-3</v>
      </c>
      <c r="E391">
        <f>(Datenabzug!E391/Datenabzug!E390-1)</f>
        <v>-1.1175658148131151E-2</v>
      </c>
      <c r="F391">
        <f>(Datenabzug!F391/Datenabzug!F390-1)</f>
        <v>1.8039536030800774E-2</v>
      </c>
      <c r="G391">
        <f>(Datenabzug!G391/Datenabzug!G390-1)</f>
        <v>2.2451056860480767E-2</v>
      </c>
      <c r="H391">
        <f>(Datenabzug!H391/Datenabzug!H390-1)</f>
        <v>-2.6019559127100633E-3</v>
      </c>
      <c r="I391">
        <f>(Datenabzug!I391/Datenabzug!I390-1)</f>
        <v>-1.0522016162289871E-2</v>
      </c>
      <c r="J391">
        <f>(Datenabzug!J391/Datenabzug!J390-1)</f>
        <v>1.3550095657457462E-3</v>
      </c>
      <c r="K391">
        <f>(Datenabzug!K391/Datenabzug!K390-1)</f>
        <v>5.8319078118975742E-3</v>
      </c>
    </row>
    <row r="392" spans="1:11">
      <c r="A392" s="1">
        <v>45862</v>
      </c>
      <c r="B392">
        <f>(Datenabzug!B392/Datenabzug!B391-1)</f>
        <v>-1.1159571386445633E-2</v>
      </c>
      <c r="C392">
        <f>(Datenabzug!C392/Datenabzug!C391-1)</f>
        <v>-8.6762846747923117E-4</v>
      </c>
      <c r="D392">
        <f>(Datenabzug!D392/Datenabzug!D391-1)</f>
        <v>9.9037496075733422E-3</v>
      </c>
      <c r="E392">
        <f>(Datenabzug!E392/Datenabzug!E391-1)</f>
        <v>3.3820938235398224E-3</v>
      </c>
      <c r="F392">
        <f>(Datenabzug!F392/Datenabzug!F391-1)</f>
        <v>-1.7329014085403327E-2</v>
      </c>
      <c r="G392">
        <f>(Datenabzug!G392/Datenabzug!G391-1)</f>
        <v>1.7332279746021806E-2</v>
      </c>
      <c r="H392">
        <f>(Datenabzug!H392/Datenabzug!H391-1)</f>
        <v>-7.8951608290612763E-3</v>
      </c>
      <c r="I392">
        <f>(Datenabzug!I392/Datenabzug!I391-1)</f>
        <v>-2.3144300073828949E-2</v>
      </c>
      <c r="J392">
        <f>(Datenabzug!J392/Datenabzug!J391-1)</f>
        <v>-8.197020076301309E-2</v>
      </c>
      <c r="K392">
        <f>(Datenabzug!K392/Datenabzug!K391-1)</f>
        <v>-5.5403483751709226E-3</v>
      </c>
    </row>
    <row r="393" spans="1:11">
      <c r="A393" s="1">
        <v>45863</v>
      </c>
      <c r="B393">
        <f>(Datenabzug!B393/Datenabzug!B392-1)</f>
        <v>7.7398419728664791E-3</v>
      </c>
      <c r="C393">
        <f>(Datenabzug!C393/Datenabzug!C392-1)</f>
        <v>1.0130202079587924E-3</v>
      </c>
      <c r="D393">
        <f>(Datenabzug!D393/Datenabzug!D392-1)</f>
        <v>5.5394947204738809E-3</v>
      </c>
      <c r="E393">
        <f>(Datenabzug!E393/Datenabzug!E392-1)</f>
        <v>-2.2868282209487223E-4</v>
      </c>
      <c r="F393">
        <f>(Datenabzug!F393/Datenabzug!F392-1)</f>
        <v>1.1270200142634135E-2</v>
      </c>
      <c r="G393">
        <f>(Datenabzug!G393/Datenabzug!G392-1)</f>
        <v>-1.3814060410711759E-3</v>
      </c>
      <c r="H393">
        <f>(Datenabzug!H393/Datenabzug!H392-1)</f>
        <v>-7.3351159012249312E-3</v>
      </c>
      <c r="I393">
        <f>(Datenabzug!I393/Datenabzug!I392-1)</f>
        <v>7.6841114637486996E-3</v>
      </c>
      <c r="J393">
        <f>(Datenabzug!J393/Datenabzug!J392-1)</f>
        <v>3.5244055669342744E-2</v>
      </c>
      <c r="K393">
        <f>(Datenabzug!K393/Datenabzug!K392-1)</f>
        <v>1.4187070285913705E-2</v>
      </c>
    </row>
    <row r="394" spans="1:11">
      <c r="A394" s="1">
        <v>45866</v>
      </c>
      <c r="B394">
        <f>(Datenabzug!B394/Datenabzug!B393-1)</f>
        <v>1.4374007288289636E-2</v>
      </c>
      <c r="C394">
        <f>(Datenabzug!C394/Datenabzug!C393-1)</f>
        <v>-1.5613732248724865E-2</v>
      </c>
      <c r="D394">
        <f>(Datenabzug!D394/Datenabzug!D393-1)</f>
        <v>-2.3554572052332245E-3</v>
      </c>
      <c r="E394">
        <f>(Datenabzug!E394/Datenabzug!E393-1)</f>
        <v>-4.9894659820627352E-3</v>
      </c>
      <c r="F394">
        <f>(Datenabzug!F394/Datenabzug!F393-1)</f>
        <v>3.8940623461704238E-2</v>
      </c>
      <c r="G394">
        <f>(Datenabzug!G394/Datenabzug!G393-1)</f>
        <v>1.8731988472622474E-2</v>
      </c>
      <c r="H394">
        <f>(Datenabzug!H394/Datenabzug!H393-1)</f>
        <v>-1.3105539658549437E-2</v>
      </c>
      <c r="I394">
        <f>(Datenabzug!I394/Datenabzug!I393-1)</f>
        <v>-7.9432325200645693E-3</v>
      </c>
      <c r="J394">
        <f>(Datenabzug!J394/Datenabzug!J393-1)</f>
        <v>3.015249906002504E-2</v>
      </c>
      <c r="K394">
        <f>(Datenabzug!K394/Datenabzug!K393-1)</f>
        <v>-1.2008493577185808E-2</v>
      </c>
    </row>
    <row r="395" spans="1:11">
      <c r="A395" s="1">
        <v>45867</v>
      </c>
      <c r="B395">
        <f>(Datenabzug!B395/Datenabzug!B394-1)</f>
        <v>-4.3695282225955423E-2</v>
      </c>
      <c r="C395">
        <f>(Datenabzug!C395/Datenabzug!C394-1)</f>
        <v>1.8945527756027314E-2</v>
      </c>
      <c r="D395">
        <f>(Datenabzug!D395/Datenabzug!D394-1)</f>
        <v>1.365996570106276E-4</v>
      </c>
      <c r="E395">
        <f>(Datenabzug!E395/Datenabzug!E394-1)</f>
        <v>-4.9889200352118968E-3</v>
      </c>
      <c r="F395">
        <f>(Datenabzug!F395/Datenabzug!F394-1)</f>
        <v>-1.1484049182830303E-2</v>
      </c>
      <c r="G395">
        <f>(Datenabzug!G395/Datenabzug!G394-1)</f>
        <v>-7.0155897774539788E-3</v>
      </c>
      <c r="H395">
        <f>(Datenabzug!H395/Datenabzug!H394-1)</f>
        <v>1.6387595856492743E-2</v>
      </c>
      <c r="I395">
        <f>(Datenabzug!I395/Datenabzug!I394-1)</f>
        <v>-7.5797918047583179E-3</v>
      </c>
      <c r="J395">
        <f>(Datenabzug!J395/Datenabzug!J394-1)</f>
        <v>-1.3483166498466814E-2</v>
      </c>
      <c r="K395">
        <f>(Datenabzug!K395/Datenabzug!K394-1)</f>
        <v>-2.2789779122189158E-2</v>
      </c>
    </row>
    <row r="396" spans="1:11">
      <c r="A396" s="1">
        <v>45868</v>
      </c>
      <c r="B396">
        <f>(Datenabzug!B396/Datenabzug!B395-1)</f>
        <v>-1.0615954141018902E-3</v>
      </c>
      <c r="C396">
        <f>(Datenabzug!C396/Datenabzug!C395-1)</f>
        <v>-9.0803874078686508E-3</v>
      </c>
      <c r="D396">
        <f>(Datenabzug!D396/Datenabzug!D395-1)</f>
        <v>1.3071051770168207E-3</v>
      </c>
      <c r="E396">
        <f>(Datenabzug!E396/Datenabzug!E395-1)</f>
        <v>1.3227887354483103E-2</v>
      </c>
      <c r="F396">
        <f>(Datenabzug!F396/Datenabzug!F395-1)</f>
        <v>-2.1064745146281205E-2</v>
      </c>
      <c r="G396">
        <f>(Datenabzug!G396/Datenabzug!G395-1)</f>
        <v>2.1423337036675649E-2</v>
      </c>
      <c r="H396">
        <f>(Datenabzug!H396/Datenabzug!H395-1)</f>
        <v>-7.158237429050418E-3</v>
      </c>
      <c r="I396">
        <f>(Datenabzug!I396/Datenabzug!I395-1)</f>
        <v>-2.1514301873052366E-3</v>
      </c>
      <c r="J396">
        <f>(Datenabzug!J396/Datenabzug!J395-1)</f>
        <v>-6.7247932130144461E-3</v>
      </c>
      <c r="K396">
        <f>(Datenabzug!K396/Datenabzug!K395-1)</f>
        <v>-1.5547510409590348E-3</v>
      </c>
    </row>
    <row r="398" spans="1:11">
      <c r="A398" t="s">
        <v>12</v>
      </c>
      <c r="B398">
        <f>SUM(B3:B396)</f>
        <v>6.9469250061493515E-4</v>
      </c>
      <c r="C398">
        <f t="shared" ref="C398:K398" si="0">SUM(C3:C396)</f>
        <v>0.20219955067049966</v>
      </c>
      <c r="D398">
        <f t="shared" si="0"/>
        <v>0.37753229138430389</v>
      </c>
      <c r="E398">
        <f t="shared" si="0"/>
        <v>1.0078290344209258</v>
      </c>
      <c r="F398">
        <f t="shared" si="0"/>
        <v>-0.18277735843452381</v>
      </c>
      <c r="G398">
        <f t="shared" si="0"/>
        <v>1.5508843569891977</v>
      </c>
      <c r="H398">
        <f t="shared" si="0"/>
        <v>-0.10897530837157832</v>
      </c>
      <c r="I398">
        <f t="shared" si="0"/>
        <v>0.13563526754893396</v>
      </c>
      <c r="J398">
        <f t="shared" si="0"/>
        <v>0.60153822208813712</v>
      </c>
      <c r="K398">
        <f t="shared" si="0"/>
        <v>0.27712643447696084</v>
      </c>
    </row>
    <row r="399" spans="1:11">
      <c r="A399" t="s">
        <v>11</v>
      </c>
      <c r="B399">
        <f>AVERAGE(B3:B396)</f>
        <v>1.7631789355709013E-6</v>
      </c>
      <c r="C399">
        <f t="shared" ref="C399:K399" si="1">AVERAGE(C3:C396)</f>
        <v>5.1319682911294328E-4</v>
      </c>
      <c r="D399">
        <f t="shared" si="1"/>
        <v>9.5820378523934992E-4</v>
      </c>
      <c r="E399">
        <f t="shared" si="1"/>
        <v>2.5579417117282378E-3</v>
      </c>
      <c r="F399">
        <f t="shared" si="1"/>
        <v>-4.6390192496072034E-4</v>
      </c>
      <c r="G399">
        <f t="shared" si="1"/>
        <v>3.9362547131705523E-3</v>
      </c>
      <c r="H399">
        <f t="shared" si="1"/>
        <v>-2.7658707708522418E-4</v>
      </c>
      <c r="I399">
        <f t="shared" si="1"/>
        <v>3.44251948093741E-4</v>
      </c>
      <c r="J399">
        <f t="shared" si="1"/>
        <v>1.526746756568876E-3</v>
      </c>
      <c r="K399">
        <f t="shared" si="1"/>
        <v>7.0336658496690573E-4</v>
      </c>
    </row>
    <row r="405" spans="1:11">
      <c r="B405" t="s">
        <v>1</v>
      </c>
      <c r="C405" t="s">
        <v>2</v>
      </c>
      <c r="D405" t="s">
        <v>3</v>
      </c>
      <c r="E405" t="s">
        <v>4</v>
      </c>
      <c r="F405" t="s">
        <v>5</v>
      </c>
      <c r="G405" t="s">
        <v>6</v>
      </c>
      <c r="H405" t="s">
        <v>7</v>
      </c>
      <c r="I405" t="s">
        <v>8</v>
      </c>
      <c r="J405" t="s">
        <v>9</v>
      </c>
      <c r="K405" t="s">
        <v>10</v>
      </c>
    </row>
    <row r="406" spans="1:11">
      <c r="A406" t="s">
        <v>0</v>
      </c>
    </row>
    <row r="407" spans="1:11">
      <c r="A407" s="1">
        <v>45293</v>
      </c>
    </row>
    <row r="408" spans="1:11">
      <c r="A408" s="1">
        <v>45294</v>
      </c>
      <c r="B408">
        <f>B3-B$399</f>
        <v>-3.1182216849118975E-2</v>
      </c>
      <c r="C408">
        <f t="shared" ref="C408:K408" si="2">C3-C$399</f>
        <v>1.8271547810145236E-3</v>
      </c>
      <c r="D408">
        <f t="shared" si="2"/>
        <v>-1.6862168422036995E-3</v>
      </c>
      <c r="E408">
        <f t="shared" si="2"/>
        <v>1.1987493568415574E-3</v>
      </c>
      <c r="F408">
        <f t="shared" si="2"/>
        <v>-2.3093250056771195E-2</v>
      </c>
      <c r="G408">
        <f t="shared" si="2"/>
        <v>-1.6371943964744007E-2</v>
      </c>
      <c r="H408">
        <f t="shared" si="2"/>
        <v>5.0787394888230036E-4</v>
      </c>
      <c r="I408">
        <f t="shared" si="2"/>
        <v>-5.0413858578317681E-3</v>
      </c>
      <c r="J408">
        <f t="shared" si="2"/>
        <v>-4.1660396600341196E-2</v>
      </c>
      <c r="K408">
        <f t="shared" si="2"/>
        <v>2.1305785659846833E-3</v>
      </c>
    </row>
    <row r="409" spans="1:11">
      <c r="A409" s="1">
        <v>45295</v>
      </c>
      <c r="B409">
        <f t="shared" ref="B409:K409" si="3">B4-B$399</f>
        <v>4.2211008439924699E-3</v>
      </c>
      <c r="C409">
        <f t="shared" si="3"/>
        <v>-3.8487023928459089E-3</v>
      </c>
      <c r="D409">
        <f t="shared" si="3"/>
        <v>-8.1358724462138182E-3</v>
      </c>
      <c r="E409">
        <f t="shared" si="3"/>
        <v>6.8198568901705631E-3</v>
      </c>
      <c r="F409">
        <f t="shared" si="3"/>
        <v>-1.6260423770779839E-2</v>
      </c>
      <c r="G409">
        <f t="shared" si="3"/>
        <v>5.0823246305277663E-3</v>
      </c>
      <c r="H409">
        <f t="shared" si="3"/>
        <v>-8.2808128046588641E-3</v>
      </c>
      <c r="I409">
        <f t="shared" si="3"/>
        <v>3.0882066310254832E-3</v>
      </c>
      <c r="J409">
        <f t="shared" si="3"/>
        <v>-3.7075153836025228E-3</v>
      </c>
      <c r="K409">
        <f t="shared" si="3"/>
        <v>-5.440962383438234E-3</v>
      </c>
    </row>
    <row r="410" spans="1:11">
      <c r="A410" s="1">
        <v>45296</v>
      </c>
      <c r="B410">
        <f t="shared" ref="B410:K410" si="4">B5-B$399</f>
        <v>1.6573714563068838E-2</v>
      </c>
      <c r="C410">
        <f t="shared" si="4"/>
        <v>-2.0192476616305902E-3</v>
      </c>
      <c r="D410">
        <f t="shared" si="4"/>
        <v>-1.4745050649441617E-3</v>
      </c>
      <c r="E410">
        <f t="shared" si="4"/>
        <v>-3.8430784422663323E-3</v>
      </c>
      <c r="F410">
        <f t="shared" si="4"/>
        <v>-1.6866695448350831E-3</v>
      </c>
      <c r="G410">
        <f t="shared" si="4"/>
        <v>1.8960523964315523E-2</v>
      </c>
      <c r="H410">
        <f t="shared" si="4"/>
        <v>-1.4478205643019935E-2</v>
      </c>
      <c r="I410">
        <f t="shared" si="4"/>
        <v>-6.3305280713815779E-3</v>
      </c>
      <c r="J410">
        <f t="shared" si="4"/>
        <v>-3.3759763457806187E-3</v>
      </c>
      <c r="K410">
        <f t="shared" si="4"/>
        <v>-3.2922551321570991E-3</v>
      </c>
    </row>
    <row r="411" spans="1:11">
      <c r="A411" s="1">
        <v>45299</v>
      </c>
      <c r="B411">
        <f t="shared" ref="B411:K411" si="5">B6-B$399</f>
        <v>-8.0323048319497825E-2</v>
      </c>
      <c r="C411">
        <f t="shared" si="5"/>
        <v>6.8606457610032538E-3</v>
      </c>
      <c r="D411">
        <f t="shared" si="5"/>
        <v>1.7913354921515592E-2</v>
      </c>
      <c r="E411">
        <f t="shared" si="5"/>
        <v>2.0582591716948487E-2</v>
      </c>
      <c r="F411">
        <f t="shared" si="5"/>
        <v>1.5550192863280977E-2</v>
      </c>
      <c r="G411">
        <f t="shared" si="5"/>
        <v>6.0344545261394378E-2</v>
      </c>
      <c r="H411">
        <f t="shared" si="5"/>
        <v>1.2828932944061199E-3</v>
      </c>
      <c r="I411">
        <f t="shared" si="5"/>
        <v>1.2560455351517832E-2</v>
      </c>
      <c r="J411">
        <f t="shared" si="5"/>
        <v>1.0936899656387954E-2</v>
      </c>
      <c r="K411">
        <f t="shared" si="5"/>
        <v>1.311177690267655E-2</v>
      </c>
    </row>
    <row r="412" spans="1:11">
      <c r="A412" s="1">
        <v>45300</v>
      </c>
      <c r="B412">
        <f t="shared" ref="B412:K412" si="6">B7-B$399</f>
        <v>-1.415025878227621E-2</v>
      </c>
      <c r="C412">
        <f t="shared" si="6"/>
        <v>-2.3430972385801211E-3</v>
      </c>
      <c r="D412">
        <f t="shared" si="6"/>
        <v>1.9775368554193627E-3</v>
      </c>
      <c r="E412">
        <f t="shared" si="6"/>
        <v>-8.6194274936495768E-3</v>
      </c>
      <c r="F412">
        <f t="shared" si="6"/>
        <v>-8.0286487377105743E-3</v>
      </c>
      <c r="G412">
        <f t="shared" si="6"/>
        <v>1.3039046264442021E-2</v>
      </c>
      <c r="H412">
        <f t="shared" si="6"/>
        <v>-1.1195262965067896E-2</v>
      </c>
      <c r="I412">
        <f t="shared" si="6"/>
        <v>-1.202297018307997E-2</v>
      </c>
      <c r="J412">
        <f t="shared" si="6"/>
        <v>-2.4358896076815007E-2</v>
      </c>
      <c r="K412">
        <f t="shared" si="6"/>
        <v>-1.0200879651303299E-2</v>
      </c>
    </row>
    <row r="413" spans="1:11">
      <c r="A413" s="1">
        <v>45301</v>
      </c>
      <c r="B413">
        <f t="shared" ref="B413:K413" si="7">B8-B$399</f>
        <v>9.2115690396387725E-3</v>
      </c>
      <c r="C413">
        <f t="shared" si="7"/>
        <v>2.8200848769642192E-3</v>
      </c>
      <c r="D413">
        <f t="shared" si="7"/>
        <v>1.7615876325460147E-2</v>
      </c>
      <c r="E413">
        <f t="shared" si="7"/>
        <v>-1.0357335588778658E-2</v>
      </c>
      <c r="F413">
        <f t="shared" si="7"/>
        <v>1.0489118953563982E-2</v>
      </c>
      <c r="G413">
        <f t="shared" si="7"/>
        <v>1.8833702232815941E-2</v>
      </c>
      <c r="H413">
        <f t="shared" si="7"/>
        <v>-1.2187347101250113E-3</v>
      </c>
      <c r="I413">
        <f t="shared" si="7"/>
        <v>4.0601232899964892E-3</v>
      </c>
      <c r="J413">
        <f t="shared" si="7"/>
        <v>-5.8679292698258674E-3</v>
      </c>
      <c r="K413">
        <f t="shared" si="7"/>
        <v>2.2517614039392161E-2</v>
      </c>
    </row>
    <row r="414" spans="1:11">
      <c r="A414" s="1">
        <v>45302</v>
      </c>
      <c r="B414">
        <f t="shared" ref="B414:K414" si="8">B9-B$399</f>
        <v>-2.2736984207024906E-2</v>
      </c>
      <c r="C414">
        <f t="shared" si="8"/>
        <v>-6.9914524503647598E-3</v>
      </c>
      <c r="D414">
        <f t="shared" si="8"/>
        <v>3.9013213702856629E-3</v>
      </c>
      <c r="E414">
        <f t="shared" si="8"/>
        <v>2.6501546098499255E-2</v>
      </c>
      <c r="F414">
        <f t="shared" si="8"/>
        <v>2.0990069099619549E-2</v>
      </c>
      <c r="G414">
        <f t="shared" si="8"/>
        <v>4.7482027432960688E-3</v>
      </c>
      <c r="H414">
        <f t="shared" si="8"/>
        <v>-4.456356515745827E-3</v>
      </c>
      <c r="I414">
        <f t="shared" si="8"/>
        <v>-6.3334764304156053E-3</v>
      </c>
      <c r="J414">
        <f t="shared" si="8"/>
        <v>-3.0252065857931654E-2</v>
      </c>
      <c r="K414">
        <f t="shared" si="8"/>
        <v>5.9377617282004155E-3</v>
      </c>
    </row>
    <row r="415" spans="1:11">
      <c r="A415" s="1">
        <v>45303</v>
      </c>
      <c r="B415">
        <f t="shared" ref="B415:K415" si="9">B10-B$399</f>
        <v>-2.2277909016936763E-2</v>
      </c>
      <c r="C415">
        <f t="shared" si="9"/>
        <v>9.183993693005427E-3</v>
      </c>
      <c r="D415">
        <f t="shared" si="9"/>
        <v>9.0252692998638168E-3</v>
      </c>
      <c r="E415">
        <f t="shared" si="9"/>
        <v>-2.7001665307285184E-3</v>
      </c>
      <c r="F415">
        <f t="shared" si="9"/>
        <v>-7.468139986418364E-3</v>
      </c>
      <c r="G415">
        <f t="shared" si="9"/>
        <v>-5.9793646175714827E-3</v>
      </c>
      <c r="H415">
        <f t="shared" si="9"/>
        <v>7.1389224347447903E-3</v>
      </c>
      <c r="I415">
        <f t="shared" si="9"/>
        <v>-1.0673503449197161E-2</v>
      </c>
      <c r="J415">
        <f t="shared" si="9"/>
        <v>-3.8187259855342701E-2</v>
      </c>
      <c r="K415">
        <f t="shared" si="9"/>
        <v>4.6796231172641497E-3</v>
      </c>
    </row>
    <row r="416" spans="1:11">
      <c r="A416" s="1">
        <v>45307</v>
      </c>
      <c r="B416">
        <f t="shared" ref="B416:K416" si="10">B11-B$399</f>
        <v>-7.8917670007664309E-2</v>
      </c>
      <c r="C416">
        <f t="shared" si="10"/>
        <v>-7.1367079755524972E-3</v>
      </c>
      <c r="D416">
        <f t="shared" si="10"/>
        <v>3.6754869969022473E-3</v>
      </c>
      <c r="E416">
        <f t="shared" si="10"/>
        <v>-2.4745875201811426E-2</v>
      </c>
      <c r="F416">
        <f t="shared" si="10"/>
        <v>-3.1327454384577166E-2</v>
      </c>
      <c r="G416">
        <f t="shared" si="10"/>
        <v>2.6625042797062182E-2</v>
      </c>
      <c r="H416">
        <f t="shared" si="10"/>
        <v>-6.2997962260795655E-3</v>
      </c>
      <c r="I416">
        <f t="shared" si="10"/>
        <v>7.4835419293931473E-3</v>
      </c>
      <c r="J416">
        <f t="shared" si="10"/>
        <v>3.1331475981533734E-3</v>
      </c>
      <c r="K416">
        <f t="shared" si="10"/>
        <v>-1.1210597323693741E-2</v>
      </c>
    </row>
    <row r="417" spans="1:11">
      <c r="A417" s="1">
        <v>45308</v>
      </c>
      <c r="B417">
        <f t="shared" ref="B417:K417" si="11">B12-B$399</f>
        <v>1.2665268698251969E-2</v>
      </c>
      <c r="C417">
        <f t="shared" si="11"/>
        <v>-5.1319682911294328E-4</v>
      </c>
      <c r="D417">
        <f t="shared" si="11"/>
        <v>-3.0082110886196912E-3</v>
      </c>
      <c r="E417">
        <f t="shared" si="11"/>
        <v>-4.4488977431810777E-3</v>
      </c>
      <c r="F417">
        <f t="shared" si="11"/>
        <v>-8.3838728013046915E-3</v>
      </c>
      <c r="G417">
        <f t="shared" si="11"/>
        <v>-9.77144930212487E-3</v>
      </c>
      <c r="H417">
        <f t="shared" si="11"/>
        <v>1.9014348472831144E-3</v>
      </c>
      <c r="I417">
        <f t="shared" si="11"/>
        <v>-1.0376695872364903E-2</v>
      </c>
      <c r="J417">
        <f t="shared" si="11"/>
        <v>-2.1353041776104021E-2</v>
      </c>
      <c r="K417">
        <f t="shared" si="11"/>
        <v>4.504415249560397E-3</v>
      </c>
    </row>
    <row r="418" spans="1:11">
      <c r="A418" s="1">
        <v>45309</v>
      </c>
      <c r="B418">
        <f t="shared" ref="B418:K418" si="12">B13-B$399</f>
        <v>4.2104033898555611E-2</v>
      </c>
      <c r="C418">
        <f t="shared" si="12"/>
        <v>2.3205482392739071E-3</v>
      </c>
      <c r="D418">
        <f t="shared" si="12"/>
        <v>1.03392053176561E-2</v>
      </c>
      <c r="E418">
        <f t="shared" si="12"/>
        <v>7.8099535385068326E-3</v>
      </c>
      <c r="F418">
        <f t="shared" si="12"/>
        <v>1.6542244046197209E-3</v>
      </c>
      <c r="G418">
        <f t="shared" si="12"/>
        <v>1.4867385571693368E-2</v>
      </c>
      <c r="H418">
        <f t="shared" si="12"/>
        <v>4.6624745377813496E-3</v>
      </c>
      <c r="I418">
        <f t="shared" si="12"/>
        <v>1.6763737359833598E-2</v>
      </c>
      <c r="J418">
        <f t="shared" si="12"/>
        <v>-1.8552950036481542E-2</v>
      </c>
      <c r="K418">
        <f t="shared" si="12"/>
        <v>2.1297858898923628E-3</v>
      </c>
    </row>
    <row r="419" spans="1:11">
      <c r="A419" s="1">
        <v>45310</v>
      </c>
      <c r="B419">
        <f t="shared" ref="B419:K419" si="13">B14-B$399</f>
        <v>1.6112804432583068E-2</v>
      </c>
      <c r="C419">
        <f t="shared" si="13"/>
        <v>-5.9985341591270499E-3</v>
      </c>
      <c r="D419">
        <f t="shared" si="13"/>
        <v>1.1228556488183342E-2</v>
      </c>
      <c r="E419">
        <f t="shared" si="13"/>
        <v>-7.4207827070387738E-3</v>
      </c>
      <c r="F419">
        <f t="shared" si="13"/>
        <v>8.7856307400674526E-3</v>
      </c>
      <c r="G419">
        <f t="shared" si="13"/>
        <v>3.7809851955419027E-2</v>
      </c>
      <c r="H419">
        <f t="shared" si="13"/>
        <v>-8.0382821130022802E-3</v>
      </c>
      <c r="I419">
        <f t="shared" si="13"/>
        <v>5.2268252912984672E-3</v>
      </c>
      <c r="J419">
        <f t="shared" si="13"/>
        <v>-6.3665996468498937E-5</v>
      </c>
      <c r="K419">
        <f t="shared" si="13"/>
        <v>1.1364250096640924E-2</v>
      </c>
    </row>
    <row r="420" spans="1:11">
      <c r="A420" s="1">
        <v>45313</v>
      </c>
      <c r="B420">
        <f t="shared" ref="B420:K420" si="14">B15-B$399</f>
        <v>-4.2038281845962469E-4</v>
      </c>
      <c r="C420">
        <f t="shared" si="14"/>
        <v>-4.8588755386004875E-3</v>
      </c>
      <c r="D420">
        <f t="shared" si="14"/>
        <v>-6.3760281968504437E-3</v>
      </c>
      <c r="E420">
        <f t="shared" si="14"/>
        <v>3.1568924911620799E-3</v>
      </c>
      <c r="F420">
        <f t="shared" si="14"/>
        <v>-1.1522678683571251E-2</v>
      </c>
      <c r="G420">
        <f t="shared" si="14"/>
        <v>-1.1963100457986226E-3</v>
      </c>
      <c r="H420">
        <f t="shared" si="14"/>
        <v>-3.7649102533024981E-3</v>
      </c>
      <c r="I420">
        <f t="shared" si="14"/>
        <v>-8.7609326612808711E-3</v>
      </c>
      <c r="J420">
        <f t="shared" si="14"/>
        <v>-1.7502991398844748E-2</v>
      </c>
      <c r="K420">
        <f t="shared" si="14"/>
        <v>-7.3231903901131582E-3</v>
      </c>
    </row>
    <row r="421" spans="1:11">
      <c r="A421" s="1">
        <v>45314</v>
      </c>
      <c r="B421">
        <f t="shared" ref="B421:K421" si="15">B16-B$399</f>
        <v>-1.5960413868302541E-2</v>
      </c>
      <c r="C421">
        <f t="shared" si="15"/>
        <v>4.1871500327049175E-3</v>
      </c>
      <c r="D421">
        <f t="shared" si="15"/>
        <v>5.0691904467725793E-3</v>
      </c>
      <c r="E421">
        <f t="shared" si="15"/>
        <v>1.0783375329980917E-2</v>
      </c>
      <c r="F421">
        <f t="shared" si="15"/>
        <v>1.3789303722470682E-2</v>
      </c>
      <c r="G421">
        <f t="shared" si="15"/>
        <v>-2.6502023794689085E-4</v>
      </c>
      <c r="H421">
        <f t="shared" si="15"/>
        <v>1.5599731050630063E-2</v>
      </c>
      <c r="I421">
        <f t="shared" si="15"/>
        <v>-1.2163511410991599E-2</v>
      </c>
      <c r="J421">
        <f t="shared" si="15"/>
        <v>1.015881712172588E-4</v>
      </c>
      <c r="K421">
        <f t="shared" si="15"/>
        <v>6.8839316003395509E-3</v>
      </c>
    </row>
    <row r="422" spans="1:11">
      <c r="A422" s="1">
        <v>45315</v>
      </c>
      <c r="B422">
        <f t="shared" ref="B422:K422" si="16">B17-B$399</f>
        <v>1.2433248087315002E-2</v>
      </c>
      <c r="C422">
        <f t="shared" si="16"/>
        <v>-1.6219119005015329E-2</v>
      </c>
      <c r="D422">
        <f t="shared" si="16"/>
        <v>8.2171225053666724E-3</v>
      </c>
      <c r="E422">
        <f t="shared" si="16"/>
        <v>0.10447388017508957</v>
      </c>
      <c r="F422">
        <f t="shared" si="16"/>
        <v>-1.0723578403256872E-2</v>
      </c>
      <c r="G422">
        <f t="shared" si="16"/>
        <v>2.0932936579971251E-2</v>
      </c>
      <c r="H422">
        <f t="shared" si="16"/>
        <v>-1.1892251231179539E-2</v>
      </c>
      <c r="I422">
        <f t="shared" si="16"/>
        <v>4.1700645436125965E-4</v>
      </c>
      <c r="J422">
        <f t="shared" si="16"/>
        <v>-7.7904818737969846E-3</v>
      </c>
      <c r="K422">
        <f t="shared" si="16"/>
        <v>-7.0336658496690573E-4</v>
      </c>
    </row>
    <row r="423" spans="1:11">
      <c r="A423" s="1">
        <v>45316</v>
      </c>
      <c r="B423">
        <f t="shared" ref="B423:K423" si="17">B18-B$399</f>
        <v>-5.7209999860684695E-2</v>
      </c>
      <c r="C423">
        <f t="shared" si="17"/>
        <v>3.7304823359878788E-3</v>
      </c>
      <c r="D423">
        <f t="shared" si="17"/>
        <v>4.7800329789005206E-3</v>
      </c>
      <c r="E423">
        <f t="shared" si="17"/>
        <v>2.8880759329478482E-2</v>
      </c>
      <c r="F423">
        <f t="shared" si="17"/>
        <v>5.6301816189176083E-4</v>
      </c>
      <c r="G423">
        <f t="shared" si="17"/>
        <v>2.1947500430802118E-4</v>
      </c>
      <c r="H423">
        <f t="shared" si="17"/>
        <v>6.0734715014497702E-3</v>
      </c>
      <c r="I423">
        <f t="shared" si="17"/>
        <v>5.848657810949889E-3</v>
      </c>
      <c r="J423">
        <f t="shared" si="17"/>
        <v>-0.12277967812461658</v>
      </c>
      <c r="K423">
        <f t="shared" si="17"/>
        <v>-1.7791839768192684E-3</v>
      </c>
    </row>
    <row r="424" spans="1:11">
      <c r="A424" s="1">
        <v>45317</v>
      </c>
      <c r="B424">
        <f t="shared" ref="B424:K424" si="18">B19-B$399</f>
        <v>1.7781059542784479E-2</v>
      </c>
      <c r="C424">
        <f t="shared" si="18"/>
        <v>3.0365623280808559E-3</v>
      </c>
      <c r="D424">
        <f t="shared" si="18"/>
        <v>-3.2799975208859101E-3</v>
      </c>
      <c r="E424">
        <f t="shared" si="18"/>
        <v>1.2424234284990567E-2</v>
      </c>
      <c r="F424">
        <f t="shared" si="18"/>
        <v>2.0112683441988369E-2</v>
      </c>
      <c r="G424">
        <f t="shared" si="18"/>
        <v>-1.3446613800020603E-2</v>
      </c>
      <c r="H424">
        <f t="shared" si="18"/>
        <v>8.0818180977099158E-3</v>
      </c>
      <c r="I424">
        <f t="shared" si="18"/>
        <v>1.7074600614480542E-3</v>
      </c>
      <c r="J424">
        <f t="shared" si="18"/>
        <v>1.8680684469124069E-3</v>
      </c>
      <c r="K424">
        <f t="shared" si="18"/>
        <v>-5.6490402778425911E-3</v>
      </c>
    </row>
    <row r="425" spans="1:11">
      <c r="A425" s="1">
        <v>45320</v>
      </c>
      <c r="B425">
        <f t="shared" ref="B425:K425" si="19">B20-B$399</f>
        <v>-1.36448658202864E-3</v>
      </c>
      <c r="C425">
        <f t="shared" si="19"/>
        <v>5.5504452807065233E-3</v>
      </c>
      <c r="D425">
        <f t="shared" si="19"/>
        <v>1.3376021651742023E-2</v>
      </c>
      <c r="E425">
        <f t="shared" si="19"/>
        <v>6.8561659248774238E-3</v>
      </c>
      <c r="F425">
        <f t="shared" si="19"/>
        <v>1.1461485381659154E-2</v>
      </c>
      <c r="G425">
        <f t="shared" si="19"/>
        <v>1.9559920887891991E-2</v>
      </c>
      <c r="H425">
        <f t="shared" si="19"/>
        <v>2.0040070222099326E-3</v>
      </c>
      <c r="I425">
        <f t="shared" si="19"/>
        <v>1.0431488444716855E-2</v>
      </c>
      <c r="J425">
        <f t="shared" si="19"/>
        <v>4.0383172347283683E-2</v>
      </c>
      <c r="K425">
        <f t="shared" si="19"/>
        <v>-1.2888752865759814E-2</v>
      </c>
    </row>
    <row r="426" spans="1:11">
      <c r="A426" s="1">
        <v>45321</v>
      </c>
      <c r="B426">
        <f t="shared" ref="B426:K426" si="20">B21-B$399</f>
        <v>-2.3151039184019777E-2</v>
      </c>
      <c r="C426">
        <f t="shared" si="20"/>
        <v>2.333017138735289E-3</v>
      </c>
      <c r="D426">
        <f t="shared" si="20"/>
        <v>-3.7161665628372277E-3</v>
      </c>
      <c r="E426">
        <f t="shared" si="20"/>
        <v>-2.5031418040264482E-2</v>
      </c>
      <c r="F426">
        <f t="shared" si="20"/>
        <v>3.3518605433421459E-3</v>
      </c>
      <c r="G426">
        <f t="shared" si="20"/>
        <v>1.0106096293020488E-3</v>
      </c>
      <c r="H426">
        <f t="shared" si="20"/>
        <v>9.018855913955794E-3</v>
      </c>
      <c r="I426">
        <f t="shared" si="20"/>
        <v>2.6410360779504007E-3</v>
      </c>
      <c r="J426">
        <f t="shared" si="20"/>
        <v>1.9300368155635399E-3</v>
      </c>
      <c r="K426">
        <f t="shared" si="20"/>
        <v>4.7340517812502333E-3</v>
      </c>
    </row>
    <row r="427" spans="1:11">
      <c r="A427" s="1">
        <v>45322</v>
      </c>
      <c r="B427">
        <f t="shared" ref="B427:K427" si="21">B22-B$399</f>
        <v>5.2881846457941424E-2</v>
      </c>
      <c r="C427">
        <f t="shared" si="21"/>
        <v>-7.3578820407093678E-3</v>
      </c>
      <c r="D427">
        <f t="shared" si="21"/>
        <v>-2.7904503354281615E-2</v>
      </c>
      <c r="E427">
        <f t="shared" si="21"/>
        <v>-3.1931717538829845E-4</v>
      </c>
      <c r="F427">
        <f t="shared" si="21"/>
        <v>-2.4972813055035167E-2</v>
      </c>
      <c r="G427">
        <f t="shared" si="21"/>
        <v>-2.3801156745621832E-2</v>
      </c>
      <c r="H427">
        <f t="shared" si="21"/>
        <v>-6.1495999736517178E-3</v>
      </c>
      <c r="I427">
        <f t="shared" si="21"/>
        <v>-1.1505087720058102E-2</v>
      </c>
      <c r="J427">
        <f t="shared" si="21"/>
        <v>-2.3970523226894015E-2</v>
      </c>
      <c r="K427">
        <f t="shared" si="21"/>
        <v>-6.6763862201160854E-3</v>
      </c>
    </row>
    <row r="428" spans="1:11">
      <c r="A428" s="1">
        <v>45323</v>
      </c>
      <c r="B428">
        <f t="shared" ref="B428:K428" si="22">B23-B$399</f>
        <v>-5.8300221188007321E-3</v>
      </c>
      <c r="C428">
        <f t="shared" si="22"/>
        <v>2.4532891690610955E-2</v>
      </c>
      <c r="D428">
        <f t="shared" si="22"/>
        <v>1.4636115526266216E-2</v>
      </c>
      <c r="E428">
        <f t="shared" si="22"/>
        <v>3.4692950015947099E-3</v>
      </c>
      <c r="F428">
        <f t="shared" si="22"/>
        <v>2.7292249670322192E-3</v>
      </c>
      <c r="G428">
        <f t="shared" si="22"/>
        <v>2.044327953122943E-2</v>
      </c>
      <c r="H428">
        <f t="shared" si="22"/>
        <v>1.9086306456578165E-2</v>
      </c>
      <c r="I428">
        <f t="shared" si="22"/>
        <v>3.3104640797459919E-3</v>
      </c>
      <c r="J428">
        <f t="shared" si="22"/>
        <v>6.8560146321852804E-3</v>
      </c>
      <c r="K428">
        <f t="shared" si="22"/>
        <v>3.2755733964531654E-3</v>
      </c>
    </row>
    <row r="429" spans="1:11">
      <c r="A429" s="1">
        <v>45324</v>
      </c>
      <c r="B429">
        <f t="shared" ref="B429:K429" si="23">B24-B$399</f>
        <v>-2.0512016269816301E-3</v>
      </c>
      <c r="C429">
        <f t="shared" si="23"/>
        <v>-7.7286315806393609E-3</v>
      </c>
      <c r="D429">
        <f t="shared" si="23"/>
        <v>1.7467702033341373E-2</v>
      </c>
      <c r="E429">
        <f t="shared" si="23"/>
        <v>-7.6151126299525678E-3</v>
      </c>
      <c r="F429">
        <f t="shared" si="23"/>
        <v>-9.8545333115522705E-3</v>
      </c>
      <c r="G429">
        <f t="shared" si="23"/>
        <v>4.5772670026521689E-2</v>
      </c>
      <c r="H429">
        <f t="shared" si="23"/>
        <v>-3.9750334252832671E-3</v>
      </c>
      <c r="I429">
        <f t="shared" si="23"/>
        <v>-4.4141055150297513E-3</v>
      </c>
      <c r="J429">
        <f t="shared" si="23"/>
        <v>-6.5569116679943702E-3</v>
      </c>
      <c r="K429">
        <f t="shared" si="23"/>
        <v>1.2116050639418938E-2</v>
      </c>
    </row>
    <row r="430" spans="1:11">
      <c r="A430" s="1">
        <v>45327</v>
      </c>
      <c r="B430">
        <f t="shared" ref="B430:K430" si="24">B25-B$399</f>
        <v>-1.3135777582742364E-2</v>
      </c>
      <c r="C430">
        <f t="shared" si="24"/>
        <v>-8.7722362494330793E-3</v>
      </c>
      <c r="D430">
        <f t="shared" si="24"/>
        <v>-1.4503324453298924E-2</v>
      </c>
      <c r="E430">
        <f t="shared" si="24"/>
        <v>-7.1272549430097514E-3</v>
      </c>
      <c r="F430">
        <f t="shared" si="24"/>
        <v>-9.7634707331910476E-3</v>
      </c>
      <c r="G430">
        <f t="shared" si="24"/>
        <v>4.4008066536797619E-2</v>
      </c>
      <c r="H430">
        <f t="shared" si="24"/>
        <v>-1.5849038824675642E-5</v>
      </c>
      <c r="I430">
        <f t="shared" si="24"/>
        <v>-5.5060155346002924E-3</v>
      </c>
      <c r="J430">
        <f t="shared" si="24"/>
        <v>-3.7980399941704032E-2</v>
      </c>
      <c r="K430">
        <f t="shared" si="24"/>
        <v>-6.6341260649167898E-4</v>
      </c>
    </row>
    <row r="431" spans="1:11">
      <c r="A431" s="1">
        <v>45328</v>
      </c>
      <c r="B431">
        <f t="shared" ref="B431:K431" si="25">B26-B$399</f>
        <v>9.4353800343549062E-3</v>
      </c>
      <c r="C431">
        <f t="shared" si="25"/>
        <v>-2.178694242017725E-3</v>
      </c>
      <c r="D431">
        <f t="shared" si="25"/>
        <v>-1.3526298690380435E-3</v>
      </c>
      <c r="E431">
        <f t="shared" si="25"/>
        <v>-1.3553196137634336E-2</v>
      </c>
      <c r="F431">
        <f t="shared" si="25"/>
        <v>2.985789103684601E-2</v>
      </c>
      <c r="G431">
        <f t="shared" si="25"/>
        <v>-1.9931733079190439E-2</v>
      </c>
      <c r="H431">
        <f t="shared" si="25"/>
        <v>3.2019916106745838E-3</v>
      </c>
      <c r="I431">
        <f t="shared" si="25"/>
        <v>3.381410900716008E-2</v>
      </c>
      <c r="J431">
        <f t="shared" si="25"/>
        <v>2.0786346137484712E-2</v>
      </c>
      <c r="K431">
        <f t="shared" si="25"/>
        <v>7.1124502670738596E-2</v>
      </c>
    </row>
    <row r="432" spans="1:11">
      <c r="A432" s="1">
        <v>45329</v>
      </c>
      <c r="B432">
        <f t="shared" ref="B432:K432" si="26">B27-B$399</f>
        <v>1.6011259683133168E-2</v>
      </c>
      <c r="C432">
        <f t="shared" si="26"/>
        <v>3.2100767135872588E-4</v>
      </c>
      <c r="D432">
        <f t="shared" si="26"/>
        <v>2.0151994195984693E-2</v>
      </c>
      <c r="E432">
        <f t="shared" si="26"/>
        <v>3.5944344847800868E-3</v>
      </c>
      <c r="F432">
        <f t="shared" si="26"/>
        <v>1.196390234579482E-2</v>
      </c>
      <c r="G432">
        <f t="shared" si="26"/>
        <v>2.3561723615224961E-2</v>
      </c>
      <c r="H432">
        <f t="shared" si="26"/>
        <v>5.6825548879924309E-4</v>
      </c>
      <c r="I432">
        <f t="shared" si="26"/>
        <v>-4.1071482232918431E-3</v>
      </c>
      <c r="J432">
        <f t="shared" si="26"/>
        <v>1.1871392874783181E-2</v>
      </c>
      <c r="K432">
        <f t="shared" si="26"/>
        <v>1.1738263892921583E-2</v>
      </c>
    </row>
    <row r="433" spans="1:11">
      <c r="A433" s="1">
        <v>45330</v>
      </c>
      <c r="B433">
        <f t="shared" ref="B433:K433" si="27">B28-B$399</f>
        <v>-1.2742405740141677E-2</v>
      </c>
      <c r="C433">
        <f t="shared" si="27"/>
        <v>-3.1803331383477066E-3</v>
      </c>
      <c r="D433">
        <f t="shared" si="27"/>
        <v>-8.1329470078149392E-4</v>
      </c>
      <c r="E433">
        <f t="shared" si="27"/>
        <v>-3.9345884360223998E-3</v>
      </c>
      <c r="F433">
        <f t="shared" si="27"/>
        <v>2.7107833630569809E-4</v>
      </c>
      <c r="G433">
        <f t="shared" si="27"/>
        <v>-1.0469950694486698E-2</v>
      </c>
      <c r="H433">
        <f t="shared" si="27"/>
        <v>1.4156629699019986E-2</v>
      </c>
      <c r="I433">
        <f t="shared" si="27"/>
        <v>1.9182732036324802E-2</v>
      </c>
      <c r="J433">
        <f t="shared" si="27"/>
        <v>9.0287266852232088E-3</v>
      </c>
      <c r="K433">
        <f t="shared" si="27"/>
        <v>-6.8846099569157141E-3</v>
      </c>
    </row>
    <row r="434" spans="1:11">
      <c r="A434" s="1">
        <v>45331</v>
      </c>
      <c r="B434">
        <f t="shared" ref="B434:K434" si="28">B29-B$399</f>
        <v>-9.7376754809302881E-5</v>
      </c>
      <c r="C434">
        <f t="shared" si="28"/>
        <v>-5.0260631778595351E-3</v>
      </c>
      <c r="D434">
        <f t="shared" si="28"/>
        <v>1.459326681395591E-2</v>
      </c>
      <c r="E434">
        <f t="shared" si="28"/>
        <v>2.4372740886740595E-3</v>
      </c>
      <c r="F434">
        <f t="shared" si="28"/>
        <v>7.4987427652660876E-3</v>
      </c>
      <c r="G434">
        <f t="shared" si="28"/>
        <v>3.18474716747294E-2</v>
      </c>
      <c r="H434">
        <f t="shared" si="28"/>
        <v>-3.5271321541775036E-2</v>
      </c>
      <c r="I434">
        <f t="shared" si="28"/>
        <v>7.0065498036811971E-3</v>
      </c>
      <c r="J434">
        <f t="shared" si="28"/>
        <v>1.9627556985102611E-2</v>
      </c>
      <c r="K434">
        <f t="shared" si="28"/>
        <v>5.7755286272947312E-3</v>
      </c>
    </row>
    <row r="435" spans="1:11">
      <c r="A435" s="1">
        <v>45334</v>
      </c>
      <c r="B435">
        <f t="shared" ref="B435:K435" si="29">B30-B$399</f>
        <v>6.1967508448929629E-4</v>
      </c>
      <c r="C435">
        <f t="shared" si="29"/>
        <v>1.8374382669137886E-3</v>
      </c>
      <c r="D435">
        <f t="shared" si="29"/>
        <v>-1.3536959993080119E-2</v>
      </c>
      <c r="E435">
        <f t="shared" si="29"/>
        <v>-8.7398552245253041E-3</v>
      </c>
      <c r="F435">
        <f t="shared" si="29"/>
        <v>2.6109882477887716E-2</v>
      </c>
      <c r="G435">
        <f t="shared" si="29"/>
        <v>-2.3420385033377528E-3</v>
      </c>
      <c r="H435">
        <f t="shared" si="29"/>
        <v>1.7810985445452569E-2</v>
      </c>
      <c r="I435">
        <f t="shared" si="29"/>
        <v>-1.9152039398540831E-2</v>
      </c>
      <c r="J435">
        <f t="shared" si="29"/>
        <v>-2.9630286745046242E-2</v>
      </c>
      <c r="K435">
        <f t="shared" si="29"/>
        <v>5.4740099905230212E-4</v>
      </c>
    </row>
    <row r="436" spans="1:11">
      <c r="A436" s="1">
        <v>45335</v>
      </c>
      <c r="B436">
        <f t="shared" ref="B436:K436" si="30">B31-B$399</f>
        <v>-2.3266441316747315E-2</v>
      </c>
      <c r="C436">
        <f t="shared" si="30"/>
        <v>-6.375836233398163E-3</v>
      </c>
      <c r="D436">
        <f t="shared" si="30"/>
        <v>-2.2486816526554917E-2</v>
      </c>
      <c r="E436">
        <f t="shared" si="30"/>
        <v>-8.5272097953011366E-3</v>
      </c>
      <c r="F436">
        <f t="shared" si="30"/>
        <v>-1.9875692487450677E-2</v>
      </c>
      <c r="G436">
        <f t="shared" si="30"/>
        <v>-5.5971322726545165E-3</v>
      </c>
      <c r="H436">
        <f t="shared" si="30"/>
        <v>-9.863353574236176E-3</v>
      </c>
      <c r="I436">
        <f t="shared" si="30"/>
        <v>-1.7103413909118081E-2</v>
      </c>
      <c r="J436">
        <f t="shared" si="30"/>
        <v>-2.337334487318592E-2</v>
      </c>
      <c r="K436">
        <f t="shared" si="30"/>
        <v>-5.6262074477427407E-3</v>
      </c>
    </row>
    <row r="437" spans="1:11">
      <c r="A437" s="1">
        <v>45336</v>
      </c>
      <c r="B437">
        <f t="shared" ref="B437:K437" si="31">B32-B$399</f>
        <v>-5.2839787496628491E-3</v>
      </c>
      <c r="C437">
        <f t="shared" si="31"/>
        <v>-1.5240995659963666E-3</v>
      </c>
      <c r="D437">
        <f t="shared" si="31"/>
        <v>8.7071507009766208E-3</v>
      </c>
      <c r="E437">
        <f t="shared" si="31"/>
        <v>4.2183450275463719E-2</v>
      </c>
      <c r="F437">
        <f t="shared" si="31"/>
        <v>1.3130416549084546E-2</v>
      </c>
      <c r="G437">
        <f t="shared" si="31"/>
        <v>2.063114950685202E-2</v>
      </c>
      <c r="H437">
        <f t="shared" si="31"/>
        <v>-7.7766263860949954E-3</v>
      </c>
      <c r="I437">
        <f t="shared" si="31"/>
        <v>1.7863294234700035E-3</v>
      </c>
      <c r="J437">
        <f t="shared" si="31"/>
        <v>2.3959626097020358E-2</v>
      </c>
      <c r="K437">
        <f t="shared" si="31"/>
        <v>1.5171829174579529E-2</v>
      </c>
    </row>
    <row r="438" spans="1:11">
      <c r="A438" s="1">
        <v>45337</v>
      </c>
      <c r="B438">
        <f t="shared" ref="B438:K438" si="32">B33-B$399</f>
        <v>9.5861850039037962E-3</v>
      </c>
      <c r="C438">
        <f t="shared" si="32"/>
        <v>1.3420787593612601E-3</v>
      </c>
      <c r="D438">
        <f t="shared" si="32"/>
        <v>-8.1133566320535783E-3</v>
      </c>
      <c r="E438">
        <f t="shared" si="32"/>
        <v>2.1832309899594341E-2</v>
      </c>
      <c r="F438">
        <f t="shared" si="32"/>
        <v>-2.1692227988287945E-3</v>
      </c>
      <c r="G438">
        <f t="shared" si="32"/>
        <v>-2.0742953967749334E-2</v>
      </c>
      <c r="H438">
        <f t="shared" si="32"/>
        <v>2.3063554796624052E-3</v>
      </c>
      <c r="I438">
        <f t="shared" si="32"/>
        <v>-9.3800551971899935E-3</v>
      </c>
      <c r="J438">
        <f t="shared" si="32"/>
        <v>6.0685058747608059E-2</v>
      </c>
      <c r="K438">
        <f t="shared" si="32"/>
        <v>7.5827784461182509E-3</v>
      </c>
    </row>
    <row r="439" spans="1:11">
      <c r="A439" s="1">
        <v>45338</v>
      </c>
      <c r="B439">
        <f t="shared" ref="B439:K439" si="33">B34-B$399</f>
        <v>-7.0148758685795679E-3</v>
      </c>
      <c r="C439">
        <f t="shared" si="33"/>
        <v>-6.8159474452428792E-4</v>
      </c>
      <c r="D439">
        <f t="shared" si="33"/>
        <v>-7.1074080887657395E-3</v>
      </c>
      <c r="E439">
        <f t="shared" si="33"/>
        <v>-1.8582626464736237E-2</v>
      </c>
      <c r="F439">
        <f t="shared" si="33"/>
        <v>-2.3487128582143621E-2</v>
      </c>
      <c r="G439">
        <f t="shared" si="33"/>
        <v>-4.5554249116495655E-3</v>
      </c>
      <c r="H439">
        <f t="shared" si="33"/>
        <v>-8.8977599617169317E-3</v>
      </c>
      <c r="I439">
        <f t="shared" si="33"/>
        <v>-3.44251948093741E-4</v>
      </c>
      <c r="J439">
        <f t="shared" si="33"/>
        <v>-4.0211344223821006E-3</v>
      </c>
      <c r="K439">
        <f t="shared" si="33"/>
        <v>-1.1719036962875716E-3</v>
      </c>
    </row>
    <row r="440" spans="1:11">
      <c r="A440" s="1">
        <v>45342</v>
      </c>
      <c r="B440">
        <f t="shared" ref="B440:K440" si="34">B35-B$399</f>
        <v>-2.5521789620424561E-3</v>
      </c>
      <c r="C440">
        <f t="shared" si="34"/>
        <v>2.1544400122775195E-2</v>
      </c>
      <c r="D440">
        <f t="shared" si="34"/>
        <v>-4.1013495431054666E-3</v>
      </c>
      <c r="E440">
        <f t="shared" si="34"/>
        <v>-1.7661986818061689E-2</v>
      </c>
      <c r="F440">
        <f t="shared" si="34"/>
        <v>-1.5649710583985775E-3</v>
      </c>
      <c r="G440">
        <f t="shared" si="34"/>
        <v>-4.7468371545840216E-2</v>
      </c>
      <c r="H440">
        <f t="shared" si="34"/>
        <v>1.4285706833273683E-2</v>
      </c>
      <c r="I440">
        <f t="shared" si="34"/>
        <v>2.2302898306313292E-3</v>
      </c>
      <c r="J440">
        <f t="shared" si="34"/>
        <v>-3.2484498874010989E-2</v>
      </c>
      <c r="K440">
        <f t="shared" si="34"/>
        <v>-6.7254843277387436E-3</v>
      </c>
    </row>
    <row r="441" spans="1:11">
      <c r="A441" s="1">
        <v>45343</v>
      </c>
      <c r="B441">
        <f t="shared" ref="B441:K441" si="35">B36-B$399</f>
        <v>-8.852566326822681E-3</v>
      </c>
      <c r="C441">
        <f t="shared" si="35"/>
        <v>8.3829749450011152E-3</v>
      </c>
      <c r="D441">
        <f t="shared" si="35"/>
        <v>-2.4726650894970471E-3</v>
      </c>
      <c r="E441">
        <f t="shared" si="35"/>
        <v>-5.6529450705560796E-3</v>
      </c>
      <c r="F441">
        <f t="shared" si="35"/>
        <v>1.9534617987360239E-2</v>
      </c>
      <c r="G441">
        <f t="shared" si="35"/>
        <v>-3.2445137507237265E-2</v>
      </c>
      <c r="H441">
        <f t="shared" si="35"/>
        <v>1.3439534363001182E-3</v>
      </c>
      <c r="I441">
        <f t="shared" si="35"/>
        <v>1.6347338675844692E-2</v>
      </c>
      <c r="J441">
        <f t="shared" si="35"/>
        <v>3.6859379784597961E-3</v>
      </c>
      <c r="K441">
        <f t="shared" si="35"/>
        <v>-3.0251603978602303E-3</v>
      </c>
    </row>
    <row r="442" spans="1:11">
      <c r="A442" s="1">
        <v>45344</v>
      </c>
      <c r="B442">
        <f t="shared" ref="B442:K442" si="36">B37-B$399</f>
        <v>-3.4907340205530537E-4</v>
      </c>
      <c r="C442">
        <f t="shared" si="36"/>
        <v>-1.9827855578846191E-3</v>
      </c>
      <c r="D442">
        <f t="shared" si="36"/>
        <v>2.2588510587963753E-2</v>
      </c>
      <c r="E442">
        <f t="shared" si="36"/>
        <v>2.3813377309845066E-2</v>
      </c>
      <c r="F442">
        <f t="shared" si="36"/>
        <v>-1.3409379008116771E-3</v>
      </c>
      <c r="G442">
        <f t="shared" si="36"/>
        <v>0.16007243919097108</v>
      </c>
      <c r="H442">
        <f t="shared" si="36"/>
        <v>-3.1587837721112045E-3</v>
      </c>
      <c r="I442">
        <f t="shared" si="36"/>
        <v>7.6541208650836492E-3</v>
      </c>
      <c r="J442">
        <f t="shared" si="36"/>
        <v>1.2027698649490558E-2</v>
      </c>
      <c r="K442">
        <f t="shared" si="36"/>
        <v>7.9510176400852534E-3</v>
      </c>
    </row>
    <row r="443" spans="1:11">
      <c r="A443" s="1">
        <v>45345</v>
      </c>
      <c r="B443">
        <f t="shared" ref="B443:K443" si="37">B38-B$399</f>
        <v>-3.326816126558324E-3</v>
      </c>
      <c r="C443">
        <f t="shared" si="37"/>
        <v>3.0443570076537719E-4</v>
      </c>
      <c r="D443">
        <f t="shared" si="37"/>
        <v>-4.1405359333638167E-3</v>
      </c>
      <c r="E443">
        <f t="shared" si="37"/>
        <v>-1.0901567366348229E-2</v>
      </c>
      <c r="F443">
        <f t="shared" si="37"/>
        <v>5.6979791441626026E-3</v>
      </c>
      <c r="G443">
        <f t="shared" si="37"/>
        <v>-3.8391415496891353E-4</v>
      </c>
      <c r="H443">
        <f t="shared" si="37"/>
        <v>8.300292968853264E-3</v>
      </c>
      <c r="I443">
        <f t="shared" si="37"/>
        <v>-2.0146286893689778E-3</v>
      </c>
      <c r="J443">
        <f t="shared" si="37"/>
        <v>-2.9083619967093789E-2</v>
      </c>
      <c r="K443">
        <f t="shared" si="37"/>
        <v>-1.8278307170452855E-5</v>
      </c>
    </row>
    <row r="444" spans="1:11">
      <c r="A444" s="1">
        <v>45348</v>
      </c>
      <c r="B444">
        <f t="shared" ref="B444:K444" si="38">B39-B$399</f>
        <v>-1.4458130832221638E-3</v>
      </c>
      <c r="C444">
        <f t="shared" si="38"/>
        <v>-8.5197231611332021E-3</v>
      </c>
      <c r="D444">
        <f t="shared" si="38"/>
        <v>-7.7817109389347458E-3</v>
      </c>
      <c r="E444">
        <f t="shared" si="38"/>
        <v>4.4508095264997345E-3</v>
      </c>
      <c r="F444">
        <f t="shared" si="38"/>
        <v>-9.8551257915998492E-3</v>
      </c>
      <c r="G444">
        <f t="shared" si="38"/>
        <v>-4.4704009538582175E-4</v>
      </c>
      <c r="H444">
        <f t="shared" si="38"/>
        <v>-7.6243485690053988E-3</v>
      </c>
      <c r="I444">
        <f t="shared" si="38"/>
        <v>-1.43582380012618E-2</v>
      </c>
      <c r="J444">
        <f t="shared" si="38"/>
        <v>3.7177179005451214E-2</v>
      </c>
      <c r="K444">
        <f t="shared" si="38"/>
        <v>-9.8902516311802496E-3</v>
      </c>
    </row>
    <row r="445" spans="1:11">
      <c r="A445" s="1">
        <v>45349</v>
      </c>
      <c r="B445">
        <f t="shared" ref="B445:K445" si="39">B40-B$399</f>
        <v>4.2866612707698811E-3</v>
      </c>
      <c r="C445">
        <f t="shared" si="39"/>
        <v>-6.6078311517106577E-3</v>
      </c>
      <c r="D445">
        <f t="shared" si="39"/>
        <v>-1.1054582269310743E-3</v>
      </c>
      <c r="E445">
        <f t="shared" si="39"/>
        <v>2.1299725119942773E-2</v>
      </c>
      <c r="F445">
        <f t="shared" si="39"/>
        <v>6.2989609616325281E-3</v>
      </c>
      <c r="G445">
        <f t="shared" si="39"/>
        <v>-8.8800230636343919E-3</v>
      </c>
      <c r="H445">
        <f t="shared" si="39"/>
        <v>-3.1780046129769918E-4</v>
      </c>
      <c r="I445">
        <f t="shared" si="39"/>
        <v>-1.9353226311093017E-3</v>
      </c>
      <c r="J445">
        <f t="shared" si="39"/>
        <v>1.2822737159641148E-4</v>
      </c>
      <c r="K445">
        <f t="shared" si="39"/>
        <v>-5.5794145941430505E-4</v>
      </c>
    </row>
    <row r="446" spans="1:11">
      <c r="A446" s="1">
        <v>45350</v>
      </c>
      <c r="B446">
        <f t="shared" ref="B446:K446" si="40">B41-B$399</f>
        <v>2.7803630431921751E-2</v>
      </c>
      <c r="C446">
        <f t="shared" si="40"/>
        <v>4.8138449722850496E-4</v>
      </c>
      <c r="D446">
        <f t="shared" si="40"/>
        <v>-3.6925047774437282E-4</v>
      </c>
      <c r="E446">
        <f t="shared" si="40"/>
        <v>-1.1183937006196852E-2</v>
      </c>
      <c r="F446">
        <f t="shared" si="40"/>
        <v>-7.144355618744257E-3</v>
      </c>
      <c r="G446">
        <f t="shared" si="40"/>
        <v>-1.7125393826815494E-2</v>
      </c>
      <c r="H446">
        <f t="shared" si="40"/>
        <v>-6.4432131006187917E-3</v>
      </c>
      <c r="I446">
        <f t="shared" si="40"/>
        <v>-1.2348905455713996E-2</v>
      </c>
      <c r="J446">
        <f t="shared" si="40"/>
        <v>1.0038854845627009E-2</v>
      </c>
      <c r="K446">
        <f t="shared" si="40"/>
        <v>-2.6715464448919034E-4</v>
      </c>
    </row>
    <row r="447" spans="1:11">
      <c r="A447" s="1">
        <v>45351</v>
      </c>
      <c r="B447">
        <f t="shared" ref="B447:K447" si="41">B42-B$399</f>
        <v>-1.5847167909838915E-2</v>
      </c>
      <c r="C447">
        <f t="shared" si="41"/>
        <v>-6.8047206286629466E-3</v>
      </c>
      <c r="D447">
        <f t="shared" si="41"/>
        <v>1.3561566106587555E-2</v>
      </c>
      <c r="E447">
        <f t="shared" si="41"/>
        <v>8.238736554565142E-3</v>
      </c>
      <c r="F447">
        <f t="shared" si="41"/>
        <v>-3.561029869249764E-3</v>
      </c>
      <c r="G447">
        <f t="shared" si="41"/>
        <v>1.4721491453971889E-2</v>
      </c>
      <c r="H447">
        <f t="shared" si="41"/>
        <v>-2.28732169530532E-3</v>
      </c>
      <c r="I447">
        <f t="shared" si="41"/>
        <v>2.0085874344551436E-2</v>
      </c>
      <c r="J447">
        <f t="shared" si="41"/>
        <v>-2.3186117765475085E-3</v>
      </c>
      <c r="K447">
        <f t="shared" si="41"/>
        <v>-1.0042656435302846E-2</v>
      </c>
    </row>
    <row r="448" spans="1:11">
      <c r="A448" s="1">
        <v>45352</v>
      </c>
      <c r="B448">
        <f t="shared" ref="B448:K448" si="42">B43-B$399</f>
        <v>-1.8262126414810891E-2</v>
      </c>
      <c r="C448">
        <f t="shared" si="42"/>
        <v>-8.677132338162424E-3</v>
      </c>
      <c r="D448">
        <f t="shared" si="42"/>
        <v>3.5384714858544141E-3</v>
      </c>
      <c r="E448">
        <f t="shared" si="42"/>
        <v>2.4676259195092257E-2</v>
      </c>
      <c r="F448">
        <f t="shared" si="42"/>
        <v>-1.5758528163167571E-2</v>
      </c>
      <c r="G448">
        <f t="shared" si="42"/>
        <v>3.6095363973114247E-2</v>
      </c>
      <c r="H448">
        <f t="shared" si="42"/>
        <v>-4.2595768132617203E-3</v>
      </c>
      <c r="I448">
        <f t="shared" si="42"/>
        <v>-1.8679229553039477E-2</v>
      </c>
      <c r="J448">
        <f t="shared" si="42"/>
        <v>2.2378385835056351E-3</v>
      </c>
      <c r="K448">
        <f t="shared" si="42"/>
        <v>-5.9491595372182663E-3</v>
      </c>
    </row>
    <row r="449" spans="1:11">
      <c r="A449" s="1">
        <v>45355</v>
      </c>
      <c r="B449">
        <f t="shared" ref="B449:K449" si="43">B44-B$399</f>
        <v>2.6982032517243793E-3</v>
      </c>
      <c r="C449">
        <f t="shared" si="43"/>
        <v>4.1904422838650538E-3</v>
      </c>
      <c r="D449">
        <f t="shared" si="43"/>
        <v>-2.3540473211606096E-3</v>
      </c>
      <c r="E449">
        <f t="shared" si="43"/>
        <v>-8.225280513397713E-3</v>
      </c>
      <c r="F449">
        <f t="shared" si="43"/>
        <v>-2.2504320511609208E-2</v>
      </c>
      <c r="G449">
        <f t="shared" si="43"/>
        <v>3.2014643620962902E-2</v>
      </c>
      <c r="H449">
        <f t="shared" si="43"/>
        <v>5.0156793979690998E-3</v>
      </c>
      <c r="I449">
        <f t="shared" si="43"/>
        <v>-7.8582880128614894E-3</v>
      </c>
      <c r="J449">
        <f t="shared" si="43"/>
        <v>-7.3082214796807807E-2</v>
      </c>
      <c r="K449">
        <f t="shared" si="43"/>
        <v>2.6525630740117791E-3</v>
      </c>
    </row>
    <row r="450" spans="1:11">
      <c r="A450" s="1">
        <v>45356</v>
      </c>
      <c r="B450">
        <f t="shared" ref="B450:K450" si="44">B45-B$399</f>
        <v>2.9901891677463544E-3</v>
      </c>
      <c r="C450">
        <f t="shared" si="44"/>
        <v>-5.3620588262627885E-3</v>
      </c>
      <c r="D450">
        <f t="shared" si="44"/>
        <v>-3.0530254842088475E-2</v>
      </c>
      <c r="E450">
        <f t="shared" si="44"/>
        <v>-3.0698851717605165E-2</v>
      </c>
      <c r="F450">
        <f t="shared" si="44"/>
        <v>-1.1892930899793141E-2</v>
      </c>
      <c r="G450">
        <f t="shared" si="44"/>
        <v>4.6402801324946768E-3</v>
      </c>
      <c r="H450">
        <f t="shared" si="44"/>
        <v>-1.9860157493791438E-2</v>
      </c>
      <c r="I450">
        <f t="shared" si="44"/>
        <v>-1.3755489068954083E-2</v>
      </c>
      <c r="J450">
        <f t="shared" si="44"/>
        <v>-4.0859126476408367E-2</v>
      </c>
      <c r="K450">
        <f t="shared" si="44"/>
        <v>-2.026401021095484E-3</v>
      </c>
    </row>
    <row r="451" spans="1:11">
      <c r="A451" s="1">
        <v>45357</v>
      </c>
      <c r="B451">
        <f t="shared" ref="B451:K451" si="45">B46-B$399</f>
        <v>-6.9779276068376297E-4</v>
      </c>
      <c r="C451">
        <f t="shared" si="45"/>
        <v>-9.088578047660497E-6</v>
      </c>
      <c r="D451">
        <f t="shared" si="45"/>
        <v>-2.349091302922587E-3</v>
      </c>
      <c r="E451">
        <f t="shared" si="45"/>
        <v>-3.9113210911668177E-3</v>
      </c>
      <c r="F451">
        <f t="shared" si="45"/>
        <v>-6.4529589479977879E-3</v>
      </c>
      <c r="G451">
        <f t="shared" si="45"/>
        <v>2.7890995422006959E-2</v>
      </c>
      <c r="H451">
        <f t="shared" si="45"/>
        <v>6.2011126989488545E-3</v>
      </c>
      <c r="I451">
        <f t="shared" si="45"/>
        <v>4.3697794859219787E-3</v>
      </c>
      <c r="J451">
        <f t="shared" si="45"/>
        <v>-2.4764613744411124E-2</v>
      </c>
      <c r="K451">
        <f t="shared" si="45"/>
        <v>1.0852153594138422E-2</v>
      </c>
    </row>
    <row r="452" spans="1:11">
      <c r="A452" s="1">
        <v>45358</v>
      </c>
      <c r="B452">
        <f t="shared" ref="B452:K452" si="46">B47-B$399</f>
        <v>1.0097733235472311E-2</v>
      </c>
      <c r="C452">
        <f t="shared" si="46"/>
        <v>-2.3603722012681175E-3</v>
      </c>
      <c r="D452">
        <f t="shared" si="46"/>
        <v>1.6575421413802985E-2</v>
      </c>
      <c r="E452">
        <f t="shared" si="46"/>
        <v>1.5545100467364849E-2</v>
      </c>
      <c r="F452">
        <f t="shared" si="46"/>
        <v>6.1998525121255265E-3</v>
      </c>
      <c r="G452">
        <f t="shared" si="46"/>
        <v>4.0810102457098318E-2</v>
      </c>
      <c r="H452">
        <f t="shared" si="46"/>
        <v>9.5151514228753126E-4</v>
      </c>
      <c r="I452">
        <f t="shared" si="46"/>
        <v>-7.9820869039415408E-3</v>
      </c>
      <c r="J452">
        <f t="shared" si="46"/>
        <v>1.0425222715482473E-2</v>
      </c>
      <c r="K452">
        <f t="shared" si="46"/>
        <v>-2.5587466558063131E-3</v>
      </c>
    </row>
    <row r="453" spans="1:11">
      <c r="A453" s="1">
        <v>45359</v>
      </c>
      <c r="B453">
        <f t="shared" ref="B453:K453" si="47">B48-B$399</f>
        <v>-2.2362957649843244E-2</v>
      </c>
      <c r="C453">
        <f t="shared" si="47"/>
        <v>8.3261023072017182E-4</v>
      </c>
      <c r="D453">
        <f t="shared" si="47"/>
        <v>-8.095155491243719E-3</v>
      </c>
      <c r="E453">
        <f t="shared" si="47"/>
        <v>-8.6219380013345375E-3</v>
      </c>
      <c r="F453">
        <f t="shared" si="47"/>
        <v>1.0342660729104293E-2</v>
      </c>
      <c r="G453">
        <f t="shared" si="47"/>
        <v>-5.9413273244192377E-2</v>
      </c>
      <c r="H453">
        <f t="shared" si="47"/>
        <v>-9.1236131678160636E-5</v>
      </c>
      <c r="I453">
        <f t="shared" si="47"/>
        <v>8.6517243139338194E-4</v>
      </c>
      <c r="J453">
        <f t="shared" si="47"/>
        <v>-2.0054581470696765E-2</v>
      </c>
      <c r="K453">
        <f t="shared" si="47"/>
        <v>-3.0725777363069394E-3</v>
      </c>
    </row>
    <row r="454" spans="1:11">
      <c r="A454" s="1">
        <v>45362</v>
      </c>
      <c r="B454">
        <f t="shared" ref="B454:K454" si="48">B49-B$399</f>
        <v>-3.0229985426663046E-2</v>
      </c>
      <c r="C454">
        <f t="shared" si="48"/>
        <v>1.1583658964030625E-2</v>
      </c>
      <c r="D454">
        <f t="shared" si="48"/>
        <v>-5.1431866564095449E-3</v>
      </c>
      <c r="E454">
        <f t="shared" si="48"/>
        <v>-8.9896314728635223E-3</v>
      </c>
      <c r="F454">
        <f t="shared" si="48"/>
        <v>1.9826646114137328E-2</v>
      </c>
      <c r="G454">
        <f t="shared" si="48"/>
        <v>-2.3975573141427231E-2</v>
      </c>
      <c r="H454">
        <f t="shared" si="48"/>
        <v>1.0580110847214887E-2</v>
      </c>
      <c r="I454">
        <f t="shared" si="48"/>
        <v>1.074736335279868E-2</v>
      </c>
      <c r="J454">
        <f t="shared" si="48"/>
        <v>1.2332087424579651E-2</v>
      </c>
      <c r="K454">
        <f t="shared" si="48"/>
        <v>-7.0602609599280256E-3</v>
      </c>
    </row>
    <row r="455" spans="1:11">
      <c r="A455" s="1">
        <v>45363</v>
      </c>
      <c r="B455">
        <f t="shared" ref="B455:K455" si="49">B50-B$399</f>
        <v>-4.2861131273727308E-2</v>
      </c>
      <c r="C455">
        <f t="shared" si="49"/>
        <v>3.8028384645337151E-3</v>
      </c>
      <c r="D455">
        <f t="shared" si="49"/>
        <v>2.5641144173940825E-2</v>
      </c>
      <c r="E455">
        <f t="shared" si="49"/>
        <v>1.4332585533994026E-2</v>
      </c>
      <c r="F455">
        <f t="shared" si="49"/>
        <v>-8.4399275986580691E-3</v>
      </c>
      <c r="G455">
        <f t="shared" si="49"/>
        <v>6.7635655688732921E-2</v>
      </c>
      <c r="H455">
        <f t="shared" si="49"/>
        <v>-8.7679626457592746E-4</v>
      </c>
      <c r="I455">
        <f t="shared" si="49"/>
        <v>3.2399700812996059E-3</v>
      </c>
      <c r="J455">
        <f t="shared" si="49"/>
        <v>-2.820615130310334E-3</v>
      </c>
      <c r="K455">
        <f t="shared" si="49"/>
        <v>1.0363994645959759E-2</v>
      </c>
    </row>
    <row r="456" spans="1:11">
      <c r="A456" s="1">
        <v>45364</v>
      </c>
      <c r="B456">
        <f t="shared" ref="B456:K456" si="50">B51-B$399</f>
        <v>-1.026011822289013E-2</v>
      </c>
      <c r="C456">
        <f t="shared" si="50"/>
        <v>9.7346775170006842E-3</v>
      </c>
      <c r="D456">
        <f t="shared" si="50"/>
        <v>-1.3915851921080104E-3</v>
      </c>
      <c r="E456">
        <f t="shared" si="50"/>
        <v>-5.2253581502080242E-3</v>
      </c>
      <c r="F456">
        <f t="shared" si="50"/>
        <v>1.224261689642704E-2</v>
      </c>
      <c r="G456">
        <f t="shared" si="50"/>
        <v>-1.5088158631549388E-2</v>
      </c>
      <c r="H456">
        <f t="shared" si="50"/>
        <v>4.8956415048552219E-3</v>
      </c>
      <c r="I456">
        <f t="shared" si="50"/>
        <v>-8.8940386724072427E-3</v>
      </c>
      <c r="J456">
        <f t="shared" si="50"/>
        <v>-4.6924954841454355E-2</v>
      </c>
      <c r="K456">
        <f t="shared" si="50"/>
        <v>-9.9437211814086589E-4</v>
      </c>
    </row>
    <row r="457" spans="1:11">
      <c r="A457" s="1">
        <v>45365</v>
      </c>
      <c r="B457">
        <f t="shared" ref="B457:K457" si="51">B52-B$399</f>
        <v>-6.5825812039692014E-3</v>
      </c>
      <c r="C457">
        <f t="shared" si="51"/>
        <v>-2.7394941398064024E-3</v>
      </c>
      <c r="D457">
        <f t="shared" si="51"/>
        <v>2.3421497838626695E-2</v>
      </c>
      <c r="E457">
        <f t="shared" si="51"/>
        <v>3.2833865141946327E-3</v>
      </c>
      <c r="F457">
        <f t="shared" si="51"/>
        <v>-1.0388477983590426E-2</v>
      </c>
      <c r="G457">
        <f t="shared" si="51"/>
        <v>-3.6327817050572253E-2</v>
      </c>
      <c r="H457">
        <f t="shared" si="51"/>
        <v>-2.8693332933780158E-3</v>
      </c>
      <c r="I457">
        <f t="shared" si="51"/>
        <v>2.0161967308462107E-4</v>
      </c>
      <c r="J457">
        <f t="shared" si="51"/>
        <v>-4.271152315200992E-2</v>
      </c>
      <c r="K457">
        <f t="shared" si="51"/>
        <v>-3.9773687558775786E-3</v>
      </c>
    </row>
    <row r="458" spans="1:11">
      <c r="A458" s="1">
        <v>45366</v>
      </c>
      <c r="B458">
        <f t="shared" ref="B458:K458" si="52">B53-B$399</f>
        <v>7.6162601680626659E-3</v>
      </c>
      <c r="C458">
        <f t="shared" si="52"/>
        <v>-1.0761174796510014E-2</v>
      </c>
      <c r="D458">
        <f t="shared" si="52"/>
        <v>-2.1653360630661686E-2</v>
      </c>
      <c r="E458">
        <f t="shared" si="52"/>
        <v>-1.4189081120918266E-2</v>
      </c>
      <c r="F458">
        <f t="shared" si="52"/>
        <v>-5.7200069587331915E-3</v>
      </c>
      <c r="G458">
        <f t="shared" si="52"/>
        <v>-5.1529273725076669E-3</v>
      </c>
      <c r="H458">
        <f t="shared" si="52"/>
        <v>-4.5160378552844044E-4</v>
      </c>
      <c r="I458">
        <f t="shared" si="52"/>
        <v>-1.7145466840479583E-2</v>
      </c>
      <c r="J458">
        <f t="shared" si="52"/>
        <v>5.0579137001572454E-3</v>
      </c>
      <c r="K458">
        <f t="shared" si="52"/>
        <v>-8.1849716311666737E-3</v>
      </c>
    </row>
    <row r="459" spans="1:11">
      <c r="A459" s="1">
        <v>45369</v>
      </c>
      <c r="B459">
        <f t="shared" ref="B459:K459" si="53">B54-B$399</f>
        <v>-1.4739080109828545E-2</v>
      </c>
      <c r="C459">
        <f t="shared" si="53"/>
        <v>3.6619126200741433E-3</v>
      </c>
      <c r="D459">
        <f t="shared" si="53"/>
        <v>1.2029927895440694E-3</v>
      </c>
      <c r="E459">
        <f t="shared" si="53"/>
        <v>1.8089727240549861E-2</v>
      </c>
      <c r="F459">
        <f t="shared" si="53"/>
        <v>-8.5686847961946467E-3</v>
      </c>
      <c r="G459">
        <f t="shared" si="53"/>
        <v>3.099481823391979E-3</v>
      </c>
      <c r="H459">
        <f t="shared" si="53"/>
        <v>4.0359174224305794E-2</v>
      </c>
      <c r="I459">
        <f t="shared" si="53"/>
        <v>9.5314588740277231E-3</v>
      </c>
      <c r="J459">
        <f t="shared" si="53"/>
        <v>6.1015255257661785E-2</v>
      </c>
      <c r="K459">
        <f t="shared" si="53"/>
        <v>6.1726628539889158E-3</v>
      </c>
    </row>
    <row r="460" spans="1:11">
      <c r="A460" s="1">
        <v>45370</v>
      </c>
      <c r="B460">
        <f t="shared" ref="B460:K460" si="54">B55-B$399</f>
        <v>7.2269016243906078E-3</v>
      </c>
      <c r="C460">
        <f t="shared" si="54"/>
        <v>1.1497717197777543E-3</v>
      </c>
      <c r="D460">
        <f t="shared" si="54"/>
        <v>8.842433468050373E-3</v>
      </c>
      <c r="E460">
        <f t="shared" si="54"/>
        <v>1.2422095363056628E-3</v>
      </c>
      <c r="F460">
        <f t="shared" si="54"/>
        <v>1.2819591633629014E-2</v>
      </c>
      <c r="G460">
        <f t="shared" si="54"/>
        <v>6.7246445944699178E-3</v>
      </c>
      <c r="H460">
        <f t="shared" si="54"/>
        <v>3.4297378405822054E-3</v>
      </c>
      <c r="I460">
        <f t="shared" si="54"/>
        <v>6.0285477898366271E-3</v>
      </c>
      <c r="J460">
        <f t="shared" si="54"/>
        <v>-1.5795996952153991E-2</v>
      </c>
      <c r="K460">
        <f t="shared" si="54"/>
        <v>-3.916967666943009E-3</v>
      </c>
    </row>
    <row r="461" spans="1:11">
      <c r="A461" s="1">
        <v>45371</v>
      </c>
      <c r="B461">
        <f t="shared" ref="B461:K461" si="55">B56-B$399</f>
        <v>3.665496317648826E-2</v>
      </c>
      <c r="C461">
        <f t="shared" si="55"/>
        <v>8.1203823558038627E-3</v>
      </c>
      <c r="D461">
        <f t="shared" si="55"/>
        <v>8.106551127097919E-3</v>
      </c>
      <c r="E461">
        <f t="shared" si="55"/>
        <v>8.6383922064504088E-3</v>
      </c>
      <c r="F461">
        <f t="shared" si="55"/>
        <v>3.5650969619846055E-3</v>
      </c>
      <c r="G461">
        <f t="shared" si="55"/>
        <v>6.9588146858762783E-3</v>
      </c>
      <c r="H461">
        <f t="shared" si="55"/>
        <v>6.2571222309404601E-4</v>
      </c>
      <c r="I461">
        <f t="shared" si="55"/>
        <v>1.0683094304986587E-2</v>
      </c>
      <c r="J461">
        <f t="shared" si="55"/>
        <v>2.3805941501362792E-2</v>
      </c>
      <c r="K461">
        <f t="shared" si="55"/>
        <v>5.7814461489316534E-3</v>
      </c>
    </row>
    <row r="462" spans="1:11">
      <c r="A462" s="1">
        <v>45372</v>
      </c>
      <c r="B462">
        <f t="shared" ref="B462:K462" si="56">B57-B$399</f>
        <v>-4.2780339394293257E-4</v>
      </c>
      <c r="C462">
        <f t="shared" si="56"/>
        <v>-5.1222094042637275E-3</v>
      </c>
      <c r="D462">
        <f t="shared" si="56"/>
        <v>8.7777083748592638E-3</v>
      </c>
      <c r="E462">
        <f t="shared" si="56"/>
        <v>-1.049176326278106E-2</v>
      </c>
      <c r="F462">
        <f t="shared" si="56"/>
        <v>5.9491174659517376E-3</v>
      </c>
      <c r="G462">
        <f t="shared" si="56"/>
        <v>7.8261450315708064E-3</v>
      </c>
      <c r="H462">
        <f t="shared" si="56"/>
        <v>3.709674018228195E-3</v>
      </c>
      <c r="I462">
        <f t="shared" si="56"/>
        <v>-1.0495255183287209E-2</v>
      </c>
      <c r="J462">
        <f t="shared" si="56"/>
        <v>-1.7694322065026014E-2</v>
      </c>
      <c r="K462">
        <f t="shared" si="56"/>
        <v>-1.4314259075499246E-3</v>
      </c>
    </row>
    <row r="463" spans="1:11">
      <c r="A463" s="1">
        <v>45373</v>
      </c>
      <c r="B463">
        <f t="shared" ref="B463:K463" si="57">B58-B$399</f>
        <v>6.1250837788197673E-3</v>
      </c>
      <c r="C463">
        <f t="shared" si="57"/>
        <v>-1.8249932631037502E-4</v>
      </c>
      <c r="D463">
        <f t="shared" si="57"/>
        <v>-2.4254065057452835E-3</v>
      </c>
      <c r="E463">
        <f t="shared" si="57"/>
        <v>5.9532233666486651E-3</v>
      </c>
      <c r="F463">
        <f t="shared" si="57"/>
        <v>-6.8569963068238579E-2</v>
      </c>
      <c r="G463">
        <f t="shared" si="57"/>
        <v>2.7277290689386058E-2</v>
      </c>
      <c r="H463">
        <f t="shared" si="57"/>
        <v>-2.216954697779936E-3</v>
      </c>
      <c r="I463">
        <f t="shared" si="57"/>
        <v>-1.0708778974627861E-2</v>
      </c>
      <c r="J463">
        <f t="shared" si="57"/>
        <v>-1.3041649018033664E-2</v>
      </c>
      <c r="K463">
        <f t="shared" si="57"/>
        <v>-5.4390869441490334E-3</v>
      </c>
    </row>
    <row r="464" spans="1:11">
      <c r="A464" s="1">
        <v>45376</v>
      </c>
      <c r="B464">
        <f t="shared" ref="B464:K464" si="58">B59-B$399</f>
        <v>1.3553955517683297E-2</v>
      </c>
      <c r="C464">
        <f t="shared" si="58"/>
        <v>-2.0010398642236796E-3</v>
      </c>
      <c r="D464">
        <f t="shared" si="58"/>
        <v>-1.4672911677200737E-2</v>
      </c>
      <c r="E464">
        <f t="shared" si="58"/>
        <v>-3.4337044932390404E-3</v>
      </c>
      <c r="F464">
        <f t="shared" si="58"/>
        <v>-7.0811168043270908E-4</v>
      </c>
      <c r="G464">
        <f t="shared" si="58"/>
        <v>3.6254284738760894E-3</v>
      </c>
      <c r="H464">
        <f t="shared" si="58"/>
        <v>3.6483831689043699E-3</v>
      </c>
      <c r="I464">
        <f t="shared" si="58"/>
        <v>-7.8522994818098525E-4</v>
      </c>
      <c r="J464">
        <f t="shared" si="58"/>
        <v>9.0100619565641298E-3</v>
      </c>
      <c r="K464">
        <f t="shared" si="58"/>
        <v>1.1634004797678589E-3</v>
      </c>
    </row>
    <row r="465" spans="1:11">
      <c r="A465" s="1">
        <v>45377</v>
      </c>
      <c r="B465">
        <f t="shared" ref="B465:K465" si="59">B60-B$399</f>
        <v>-2.0429136813028541E-2</v>
      </c>
      <c r="C465">
        <f t="shared" si="59"/>
        <v>1.8046961345819464E-3</v>
      </c>
      <c r="D465">
        <f t="shared" si="59"/>
        <v>-3.8196158843889351E-3</v>
      </c>
      <c r="E465">
        <f t="shared" si="59"/>
        <v>2.7884182728194146E-4</v>
      </c>
      <c r="F465">
        <f t="shared" si="59"/>
        <v>-1.2016028377694875E-2</v>
      </c>
      <c r="G465">
        <f t="shared" si="59"/>
        <v>-2.9630417857075819E-2</v>
      </c>
      <c r="H465">
        <f t="shared" si="59"/>
        <v>1.0296881357628762E-3</v>
      </c>
      <c r="I465">
        <f t="shared" si="59"/>
        <v>-3.7631871224930256E-3</v>
      </c>
      <c r="J465">
        <f t="shared" si="59"/>
        <v>2.7668602508203199E-2</v>
      </c>
      <c r="K465">
        <f t="shared" si="59"/>
        <v>8.3113320738097075E-4</v>
      </c>
    </row>
    <row r="466" spans="1:11">
      <c r="A466" s="1">
        <v>45378</v>
      </c>
      <c r="B466">
        <f t="shared" ref="B466:K466" si="60">B61-B$399</f>
        <v>2.3731553878355079E-2</v>
      </c>
      <c r="C466">
        <f t="shared" si="60"/>
        <v>7.5806351532877129E-3</v>
      </c>
      <c r="D466">
        <f t="shared" si="60"/>
        <v>-1.4799468293092834E-3</v>
      </c>
      <c r="E466">
        <f t="shared" si="60"/>
        <v>-2.752450642680376E-2</v>
      </c>
      <c r="F466">
        <f t="shared" si="60"/>
        <v>1.7206101526268461E-2</v>
      </c>
      <c r="G466">
        <f t="shared" si="60"/>
        <v>-2.890350429751759E-2</v>
      </c>
      <c r="H466">
        <f t="shared" si="60"/>
        <v>5.1397767060467085E-3</v>
      </c>
      <c r="I466">
        <f t="shared" si="60"/>
        <v>1.2271995650572012E-2</v>
      </c>
      <c r="J466">
        <f t="shared" si="60"/>
        <v>1.0630644386392007E-2</v>
      </c>
      <c r="K466">
        <f t="shared" si="60"/>
        <v>9.0308108282413507E-3</v>
      </c>
    </row>
    <row r="467" spans="1:11">
      <c r="A467" s="1">
        <v>45379</v>
      </c>
      <c r="B467">
        <f t="shared" ref="B467:K467" si="61">B62-B$399</f>
        <v>5.4163590479818276E-3</v>
      </c>
      <c r="C467">
        <f t="shared" si="61"/>
        <v>1.9445356696977064E-3</v>
      </c>
      <c r="D467">
        <f t="shared" si="61"/>
        <v>-2.6429662791968979E-3</v>
      </c>
      <c r="E467">
        <f t="shared" si="61"/>
        <v>-1.266341644152663E-2</v>
      </c>
      <c r="F467">
        <f t="shared" si="61"/>
        <v>-1.1295405257687339E-3</v>
      </c>
      <c r="G467">
        <f t="shared" si="61"/>
        <v>-2.7616636656200861E-3</v>
      </c>
      <c r="H467">
        <f t="shared" si="61"/>
        <v>8.572807921249816E-3</v>
      </c>
      <c r="I467">
        <f t="shared" si="61"/>
        <v>-1.546578760033954E-3</v>
      </c>
      <c r="J467">
        <f t="shared" si="61"/>
        <v>-2.3992456058610157E-2</v>
      </c>
      <c r="K467">
        <f t="shared" si="61"/>
        <v>-4.0375347981806567E-3</v>
      </c>
    </row>
    <row r="468" spans="1:11">
      <c r="A468" s="1">
        <v>45383</v>
      </c>
      <c r="B468">
        <f t="shared" ref="B468:K468" si="62">B63-B$399</f>
        <v>-1.8085629668527607E-2</v>
      </c>
      <c r="C468">
        <f t="shared" si="62"/>
        <v>-8.6858548359579121E-3</v>
      </c>
      <c r="D468">
        <f t="shared" si="62"/>
        <v>8.1928119927414805E-3</v>
      </c>
      <c r="E468">
        <f t="shared" si="62"/>
        <v>8.9349538678383262E-3</v>
      </c>
      <c r="F468">
        <f t="shared" si="62"/>
        <v>-1.464576589160581E-2</v>
      </c>
      <c r="G468">
        <f t="shared" si="62"/>
        <v>-3.8588795882597577E-3</v>
      </c>
      <c r="H468">
        <f t="shared" si="62"/>
        <v>-1.1322667806237472E-2</v>
      </c>
      <c r="I468">
        <f t="shared" si="62"/>
        <v>1.187730183321958E-3</v>
      </c>
      <c r="J468">
        <f t="shared" si="62"/>
        <v>-4.7692070057208553E-3</v>
      </c>
      <c r="K468">
        <f t="shared" si="62"/>
        <v>-6.3761875749219358E-3</v>
      </c>
    </row>
    <row r="469" spans="1:11">
      <c r="A469" s="1">
        <v>45384</v>
      </c>
      <c r="B469">
        <f t="shared" ref="B469:K469" si="63">B64-B$399</f>
        <v>-7.7062840964448546E-3</v>
      </c>
      <c r="C469">
        <f t="shared" si="63"/>
        <v>-9.2473967509831331E-3</v>
      </c>
      <c r="D469">
        <f t="shared" si="63"/>
        <v>-8.3303532268352715E-3</v>
      </c>
      <c r="E469">
        <f t="shared" si="63"/>
        <v>-2.7206862321402215E-3</v>
      </c>
      <c r="F469">
        <f t="shared" si="63"/>
        <v>-1.6930205638532966E-2</v>
      </c>
      <c r="G469">
        <f t="shared" si="63"/>
        <v>-1.4017808204384754E-2</v>
      </c>
      <c r="H469">
        <f t="shared" si="63"/>
        <v>-8.6262362615336912E-3</v>
      </c>
      <c r="I469">
        <f t="shared" si="63"/>
        <v>-2.4707773309064273E-2</v>
      </c>
      <c r="J469">
        <f t="shared" si="63"/>
        <v>-5.0550809523645698E-2</v>
      </c>
      <c r="K469">
        <f t="shared" si="63"/>
        <v>-2.1292989269228027E-2</v>
      </c>
    </row>
    <row r="470" spans="1:11">
      <c r="A470" s="1">
        <v>45385</v>
      </c>
      <c r="B470">
        <f t="shared" ref="B470:K470" si="64">B65-B$399</f>
        <v>-1.6593952226929325E-2</v>
      </c>
      <c r="C470">
        <f t="shared" si="64"/>
        <v>-5.8332296090660204E-3</v>
      </c>
      <c r="D470">
        <f t="shared" si="64"/>
        <v>-3.307253836270382E-3</v>
      </c>
      <c r="E470">
        <f t="shared" si="64"/>
        <v>2.3280117827283068E-2</v>
      </c>
      <c r="F470">
        <f t="shared" si="64"/>
        <v>-6.3529303726896792E-3</v>
      </c>
      <c r="G470">
        <f t="shared" si="64"/>
        <v>-9.3917215153098161E-3</v>
      </c>
      <c r="H470">
        <f t="shared" si="64"/>
        <v>-9.9893321962947184E-3</v>
      </c>
      <c r="I470">
        <f t="shared" si="64"/>
        <v>-7.06327512843242E-3</v>
      </c>
      <c r="J470">
        <f t="shared" si="64"/>
        <v>8.9755634439903746E-3</v>
      </c>
      <c r="K470">
        <f t="shared" si="64"/>
        <v>4.8603529944064991E-3</v>
      </c>
    </row>
    <row r="471" spans="1:11">
      <c r="A471" s="1">
        <v>45386</v>
      </c>
      <c r="B471">
        <f t="shared" ref="B471:K471" si="65">B66-B$399</f>
        <v>-8.8164122106958957E-3</v>
      </c>
      <c r="C471">
        <f t="shared" si="65"/>
        <v>-9.3717460655154457E-3</v>
      </c>
      <c r="D471">
        <f t="shared" si="65"/>
        <v>-7.0707358351267255E-3</v>
      </c>
      <c r="E471">
        <f t="shared" si="65"/>
        <v>-2.3095019686636905E-2</v>
      </c>
      <c r="F471">
        <f t="shared" si="65"/>
        <v>-1.3485058991948616E-2</v>
      </c>
      <c r="G471">
        <f t="shared" si="65"/>
        <v>-3.8320976328531098E-2</v>
      </c>
      <c r="H471">
        <f t="shared" si="65"/>
        <v>9.9796520817376833E-5</v>
      </c>
      <c r="I471">
        <f t="shared" si="65"/>
        <v>-1.2520020610443669E-2</v>
      </c>
      <c r="J471">
        <f t="shared" si="65"/>
        <v>1.4686554397799267E-2</v>
      </c>
      <c r="K471">
        <f t="shared" si="65"/>
        <v>-1.1769008286246677E-2</v>
      </c>
    </row>
    <row r="472" spans="1:11">
      <c r="A472" s="1">
        <v>45387</v>
      </c>
      <c r="B472">
        <f t="shared" ref="B472:K472" si="66">B67-B$399</f>
        <v>-8.2010516146718273E-4</v>
      </c>
      <c r="C472">
        <f t="shared" si="66"/>
        <v>3.028170747961407E-3</v>
      </c>
      <c r="D472">
        <f t="shared" si="66"/>
        <v>1.7324526648157659E-2</v>
      </c>
      <c r="E472">
        <f t="shared" si="66"/>
        <v>2.8294016637124445E-2</v>
      </c>
      <c r="F472">
        <f t="shared" si="66"/>
        <v>-2.1183470391849964E-3</v>
      </c>
      <c r="G472">
        <f t="shared" si="66"/>
        <v>2.0544301442845414E-2</v>
      </c>
      <c r="H472">
        <f t="shared" si="66"/>
        <v>-2.7295717151086785E-3</v>
      </c>
      <c r="I472">
        <f t="shared" si="66"/>
        <v>-9.1322413661776378E-3</v>
      </c>
      <c r="J472">
        <f t="shared" si="66"/>
        <v>-3.7819229321678069E-2</v>
      </c>
      <c r="K472">
        <f t="shared" si="66"/>
        <v>1.6644007174200268E-2</v>
      </c>
    </row>
    <row r="473" spans="1:11">
      <c r="A473" s="1">
        <v>45390</v>
      </c>
      <c r="B473">
        <f t="shared" ref="B473:K473" si="67">B68-B$399</f>
        <v>-8.6290528825540506E-3</v>
      </c>
      <c r="C473">
        <f t="shared" si="67"/>
        <v>-4.546115755914298E-3</v>
      </c>
      <c r="D473">
        <f t="shared" si="67"/>
        <v>-3.1436982328141151E-3</v>
      </c>
      <c r="E473">
        <f t="shared" si="67"/>
        <v>-1.4771497027369627E-2</v>
      </c>
      <c r="F473">
        <f t="shared" si="67"/>
        <v>1.3521028261675684E-2</v>
      </c>
      <c r="G473">
        <f t="shared" si="67"/>
        <v>-1.3878501535029066E-2</v>
      </c>
      <c r="H473">
        <f t="shared" si="67"/>
        <v>2.8779190110591623E-3</v>
      </c>
      <c r="I473">
        <f t="shared" si="67"/>
        <v>3.5704256434795269E-3</v>
      </c>
      <c r="J473">
        <f t="shared" si="67"/>
        <v>4.7472659732962066E-2</v>
      </c>
      <c r="K473">
        <f t="shared" si="67"/>
        <v>-1.3805679457249156E-2</v>
      </c>
    </row>
    <row r="474" spans="1:11">
      <c r="A474" s="1">
        <v>45391</v>
      </c>
      <c r="B474">
        <f t="shared" ref="B474:K474" si="68">B69-B$399</f>
        <v>-1.8948681485077716E-2</v>
      </c>
      <c r="C474">
        <f t="shared" si="68"/>
        <v>7.0792122171566222E-3</v>
      </c>
      <c r="D474">
        <f t="shared" si="68"/>
        <v>3.0219887058549198E-3</v>
      </c>
      <c r="E474">
        <f t="shared" si="68"/>
        <v>-1.8805234679422352E-2</v>
      </c>
      <c r="F474">
        <f t="shared" si="68"/>
        <v>1.1575080645935277E-2</v>
      </c>
      <c r="G474">
        <f t="shared" si="68"/>
        <v>-2.4353467097868509E-2</v>
      </c>
      <c r="H474">
        <f t="shared" si="68"/>
        <v>6.3504142489697627E-3</v>
      </c>
      <c r="I474">
        <f t="shared" si="68"/>
        <v>-1.0323782763405152E-3</v>
      </c>
      <c r="J474">
        <f t="shared" si="68"/>
        <v>2.1019265797483321E-2</v>
      </c>
      <c r="K474">
        <f t="shared" si="68"/>
        <v>-9.2676808455324916E-3</v>
      </c>
    </row>
    <row r="475" spans="1:11">
      <c r="A475" s="1">
        <v>45392</v>
      </c>
      <c r="B475">
        <f t="shared" ref="B475:K475" si="69">B70-B$399</f>
        <v>-1.9595241339985962E-2</v>
      </c>
      <c r="C475">
        <f t="shared" si="69"/>
        <v>-1.3909142499832943E-2</v>
      </c>
      <c r="D475">
        <f t="shared" si="69"/>
        <v>-8.042706438396649E-3</v>
      </c>
      <c r="E475">
        <f t="shared" si="69"/>
        <v>-1.9432460221321924E-3</v>
      </c>
      <c r="F475">
        <f t="shared" si="69"/>
        <v>-2.1514166345526262E-2</v>
      </c>
      <c r="G475">
        <f t="shared" si="69"/>
        <v>1.5805200805377895E-2</v>
      </c>
      <c r="H475">
        <f t="shared" si="69"/>
        <v>-9.4532159790694497E-3</v>
      </c>
      <c r="I475">
        <f t="shared" si="69"/>
        <v>-1.3887385130420546E-2</v>
      </c>
      <c r="J475">
        <f t="shared" si="69"/>
        <v>-3.0472982818520223E-2</v>
      </c>
      <c r="K475">
        <f t="shared" si="69"/>
        <v>-5.4941104005255684E-3</v>
      </c>
    </row>
    <row r="476" spans="1:11">
      <c r="A476" s="1">
        <v>45393</v>
      </c>
      <c r="B476">
        <f t="shared" ref="B476:K476" si="70">B71-B$399</f>
        <v>-7.2743064816357898E-3</v>
      </c>
      <c r="C476">
        <f t="shared" si="70"/>
        <v>1.6931532822184688E-3</v>
      </c>
      <c r="D476">
        <f t="shared" si="70"/>
        <v>1.0075144529693394E-2</v>
      </c>
      <c r="E476">
        <f t="shared" si="70"/>
        <v>1.3931456466730165E-2</v>
      </c>
      <c r="F476">
        <f t="shared" si="70"/>
        <v>3.4171795736270286E-2</v>
      </c>
      <c r="G476">
        <f t="shared" si="70"/>
        <v>3.7160267544778802E-2</v>
      </c>
      <c r="H476">
        <f t="shared" si="70"/>
        <v>-3.2155370344085755E-3</v>
      </c>
      <c r="I476">
        <f t="shared" si="70"/>
        <v>-9.2570389676883448E-4</v>
      </c>
      <c r="J476">
        <f t="shared" si="70"/>
        <v>1.5008020869818072E-2</v>
      </c>
      <c r="K476">
        <f t="shared" si="70"/>
        <v>-1.4045239531030054E-2</v>
      </c>
    </row>
    <row r="477" spans="1:11">
      <c r="A477" s="1">
        <v>45394</v>
      </c>
      <c r="B477">
        <f t="shared" ref="B477:K477" si="71">B72-B$399</f>
        <v>-2.1979137112830886E-2</v>
      </c>
      <c r="C477">
        <f t="shared" si="71"/>
        <v>-1.3552962939511864E-2</v>
      </c>
      <c r="D477">
        <f t="shared" si="71"/>
        <v>-1.5049179860317938E-2</v>
      </c>
      <c r="E477">
        <f t="shared" si="71"/>
        <v>-1.2020729856710486E-2</v>
      </c>
      <c r="F477">
        <f t="shared" si="71"/>
        <v>4.6390192496072034E-4</v>
      </c>
      <c r="G477">
        <f t="shared" si="71"/>
        <v>-3.075277700410578E-2</v>
      </c>
      <c r="H477">
        <f t="shared" si="71"/>
        <v>-1.2676421531425653E-3</v>
      </c>
      <c r="I477">
        <f t="shared" si="71"/>
        <v>-1.1753045574908425E-2</v>
      </c>
      <c r="J477">
        <f t="shared" si="71"/>
        <v>-2.1858951382342662E-2</v>
      </c>
      <c r="K477">
        <f t="shared" si="71"/>
        <v>-7.0336658496690573E-4</v>
      </c>
    </row>
    <row r="478" spans="1:11">
      <c r="A478" s="1">
        <v>45397</v>
      </c>
      <c r="B478">
        <f t="shared" ref="B478:K478" si="72">B73-B$399</f>
        <v>-1.0205217595924793E-2</v>
      </c>
      <c r="C478">
        <f t="shared" si="72"/>
        <v>-2.9153380220860495E-3</v>
      </c>
      <c r="D478">
        <f t="shared" si="72"/>
        <v>-2.0536325031568978E-2</v>
      </c>
      <c r="E478">
        <f t="shared" si="72"/>
        <v>-2.7733338281478111E-2</v>
      </c>
      <c r="F478">
        <f t="shared" si="72"/>
        <v>1.2420563883114867E-2</v>
      </c>
      <c r="G478">
        <f t="shared" si="72"/>
        <v>-2.8713401210327671E-2</v>
      </c>
      <c r="H478">
        <f t="shared" si="72"/>
        <v>-6.5648085293145116E-3</v>
      </c>
      <c r="I478">
        <f t="shared" si="72"/>
        <v>2.5998470965490263E-3</v>
      </c>
      <c r="J478">
        <f t="shared" si="72"/>
        <v>-5.7475341632198626E-2</v>
      </c>
      <c r="K478">
        <f t="shared" si="72"/>
        <v>-7.6950671014744546E-3</v>
      </c>
    </row>
    <row r="479" spans="1:11">
      <c r="A479" s="1">
        <v>45398</v>
      </c>
      <c r="B479">
        <f t="shared" ref="B479:K479" si="73">B74-B$399</f>
        <v>1.6265640041139347E-2</v>
      </c>
      <c r="C479">
        <f t="shared" si="73"/>
        <v>-1.8892708491001268E-3</v>
      </c>
      <c r="D479">
        <f t="shared" si="73"/>
        <v>1.3143391547843085E-3</v>
      </c>
      <c r="E479">
        <f t="shared" si="73"/>
        <v>1.4521848620481061E-2</v>
      </c>
      <c r="F479">
        <f t="shared" si="73"/>
        <v>3.578650485441938E-3</v>
      </c>
      <c r="G479">
        <f t="shared" si="73"/>
        <v>1.2505410177792551E-2</v>
      </c>
      <c r="H479">
        <f t="shared" si="73"/>
        <v>3.5710024672946949E-3</v>
      </c>
      <c r="I479">
        <f t="shared" si="73"/>
        <v>2.5910198055266644E-3</v>
      </c>
      <c r="J479">
        <f t="shared" si="73"/>
        <v>-2.8588892117046783E-2</v>
      </c>
      <c r="K479">
        <f t="shared" si="73"/>
        <v>-5.7324985692736733E-3</v>
      </c>
    </row>
    <row r="480" spans="1:11">
      <c r="A480" s="1">
        <v>45399</v>
      </c>
      <c r="B480">
        <f t="shared" ref="B480:K480" si="74">B75-B$399</f>
        <v>-1.9952919494206577E-3</v>
      </c>
      <c r="C480">
        <f t="shared" si="74"/>
        <v>7.2373744799248355E-3</v>
      </c>
      <c r="D480">
        <f t="shared" si="74"/>
        <v>-7.5673939346620886E-3</v>
      </c>
      <c r="E480">
        <f t="shared" si="74"/>
        <v>-8.760197458434647E-3</v>
      </c>
      <c r="F480">
        <f t="shared" si="74"/>
        <v>1.5990208543651976E-2</v>
      </c>
      <c r="G480">
        <f t="shared" si="74"/>
        <v>-4.2602296105111293E-2</v>
      </c>
      <c r="H480">
        <f t="shared" si="74"/>
        <v>1.2097577418801577E-2</v>
      </c>
      <c r="I480">
        <f t="shared" si="74"/>
        <v>8.9041711675396009E-3</v>
      </c>
      <c r="J480">
        <f t="shared" si="74"/>
        <v>-1.2092615610620961E-2</v>
      </c>
      <c r="K480">
        <f t="shared" si="74"/>
        <v>7.3840129573661669E-3</v>
      </c>
    </row>
    <row r="481" spans="1:11">
      <c r="A481" s="1">
        <v>45400</v>
      </c>
      <c r="B481">
        <f t="shared" ref="B481:K481" si="75">B76-B$399</f>
        <v>1.1567418011244066E-4</v>
      </c>
      <c r="C481">
        <f t="shared" si="75"/>
        <v>6.3233265098415151E-3</v>
      </c>
      <c r="D481">
        <f t="shared" si="75"/>
        <v>-1.9339039757884632E-2</v>
      </c>
      <c r="E481">
        <f t="shared" si="75"/>
        <v>-7.658244585102723E-3</v>
      </c>
      <c r="F481">
        <f t="shared" si="75"/>
        <v>9.9536427512626601E-3</v>
      </c>
      <c r="G481">
        <f t="shared" si="75"/>
        <v>3.6319637464778381E-3</v>
      </c>
      <c r="H481">
        <f t="shared" si="75"/>
        <v>1.6738734408314863E-2</v>
      </c>
      <c r="I481">
        <f t="shared" si="75"/>
        <v>1.0559430227763058E-2</v>
      </c>
      <c r="J481">
        <f t="shared" si="75"/>
        <v>-3.7036585166529787E-2</v>
      </c>
      <c r="K481">
        <f t="shared" si="75"/>
        <v>1.3644728943791137E-2</v>
      </c>
    </row>
    <row r="482" spans="1:11">
      <c r="A482" s="1">
        <v>45401</v>
      </c>
      <c r="B482">
        <f t="shared" ref="B482:K482" si="76">B77-B$399</f>
        <v>-2.4102012545447692E-3</v>
      </c>
      <c r="C482">
        <f t="shared" si="76"/>
        <v>2.0875341045078873E-2</v>
      </c>
      <c r="D482">
        <f t="shared" si="76"/>
        <v>-1.3697238819147292E-2</v>
      </c>
      <c r="E482">
        <f t="shared" si="76"/>
        <v>-9.3490888110533132E-2</v>
      </c>
      <c r="F482">
        <f t="shared" si="76"/>
        <v>-1.2174518746403728E-2</v>
      </c>
      <c r="G482">
        <f t="shared" si="76"/>
        <v>-0.10398221823027148</v>
      </c>
      <c r="H482">
        <f t="shared" si="76"/>
        <v>1.1073640627759731E-2</v>
      </c>
      <c r="I482">
        <f t="shared" si="76"/>
        <v>4.9339242943354702E-3</v>
      </c>
      <c r="J482">
        <f t="shared" si="76"/>
        <v>-2.073564267275756E-2</v>
      </c>
      <c r="K482">
        <f t="shared" si="76"/>
        <v>5.1140286871960558E-3</v>
      </c>
    </row>
    <row r="483" spans="1:11">
      <c r="A483" s="1">
        <v>45404</v>
      </c>
      <c r="B483">
        <f t="shared" ref="B483:K483" si="77">B78-B$399</f>
        <v>3.8846363903505877E-3</v>
      </c>
      <c r="C483">
        <f t="shared" si="77"/>
        <v>5.8022387915386778E-3</v>
      </c>
      <c r="D483">
        <f t="shared" si="77"/>
        <v>3.6518888642984725E-3</v>
      </c>
      <c r="E483">
        <f t="shared" si="77"/>
        <v>-3.3506818004146988E-3</v>
      </c>
      <c r="F483">
        <f t="shared" si="77"/>
        <v>-3.1327389921806822E-3</v>
      </c>
      <c r="G483">
        <f t="shared" si="77"/>
        <v>3.9606964127355038E-2</v>
      </c>
      <c r="H483">
        <f t="shared" si="77"/>
        <v>1.3657368288280904E-2</v>
      </c>
      <c r="I483">
        <f t="shared" si="77"/>
        <v>6.1619231896595707E-3</v>
      </c>
      <c r="J483">
        <f t="shared" si="77"/>
        <v>-3.5528786173325375E-2</v>
      </c>
      <c r="K483">
        <f t="shared" si="77"/>
        <v>1.7541704631117007E-3</v>
      </c>
    </row>
    <row r="484" spans="1:11">
      <c r="A484" s="1">
        <v>45405</v>
      </c>
      <c r="B484">
        <f t="shared" ref="B484:K484" si="78">B79-B$399</f>
        <v>-7.6273091921797379E-3</v>
      </c>
      <c r="C484">
        <f t="shared" si="78"/>
        <v>9.7317198090190538E-4</v>
      </c>
      <c r="D484">
        <f t="shared" si="78"/>
        <v>1.5527349199138799E-2</v>
      </c>
      <c r="E484">
        <f t="shared" si="78"/>
        <v>3.9183900035749064E-2</v>
      </c>
      <c r="F484">
        <f t="shared" si="78"/>
        <v>-1.3411589734181205E-3</v>
      </c>
      <c r="G484">
        <f t="shared" si="78"/>
        <v>3.2596387998268417E-2</v>
      </c>
      <c r="H484">
        <f t="shared" si="78"/>
        <v>-2.94185693751392E-2</v>
      </c>
      <c r="I484">
        <f t="shared" si="78"/>
        <v>-3.8599082206100064E-3</v>
      </c>
      <c r="J484">
        <f t="shared" si="78"/>
        <v>1.6987787333696169E-2</v>
      </c>
      <c r="K484">
        <f t="shared" si="78"/>
        <v>-6.3224768399396539E-3</v>
      </c>
    </row>
    <row r="485" spans="1:11">
      <c r="A485" s="1">
        <v>45406</v>
      </c>
      <c r="B485">
        <f t="shared" ref="B485:K485" si="79">B80-B$399</f>
        <v>-2.8669401520908959E-2</v>
      </c>
      <c r="C485">
        <f t="shared" si="79"/>
        <v>1.4493446864545284E-2</v>
      </c>
      <c r="D485">
        <f t="shared" si="79"/>
        <v>2.6974889751134744E-3</v>
      </c>
      <c r="E485">
        <f t="shared" si="79"/>
        <v>-4.1727140989638978E-2</v>
      </c>
      <c r="F485">
        <f t="shared" si="79"/>
        <v>7.0583138078489493E-3</v>
      </c>
      <c r="G485">
        <f t="shared" si="79"/>
        <v>-3.7252151325918248E-2</v>
      </c>
      <c r="H485">
        <f t="shared" si="79"/>
        <v>3.6428950407463412E-2</v>
      </c>
      <c r="I485">
        <f t="shared" si="79"/>
        <v>9.6706423513365138E-3</v>
      </c>
      <c r="J485">
        <f t="shared" si="79"/>
        <v>0.11908434731595714</v>
      </c>
      <c r="K485">
        <f t="shared" si="79"/>
        <v>2.3307035307507519E-3</v>
      </c>
    </row>
    <row r="486" spans="1:11">
      <c r="A486" s="1">
        <v>45407</v>
      </c>
      <c r="B486">
        <f t="shared" ref="B486:K486" si="80">B81-B$399</f>
        <v>1.5089794661419414E-2</v>
      </c>
      <c r="C486">
        <f t="shared" si="80"/>
        <v>2.5738187479059046E-3</v>
      </c>
      <c r="D486">
        <f t="shared" si="80"/>
        <v>-2.5453349604220618E-2</v>
      </c>
      <c r="E486">
        <f t="shared" si="80"/>
        <v>1.4879716381883514E-2</v>
      </c>
      <c r="F486">
        <f t="shared" si="80"/>
        <v>-6.9324767312029956E-3</v>
      </c>
      <c r="G486">
        <f t="shared" si="80"/>
        <v>3.3151016435796377E-2</v>
      </c>
      <c r="H486">
        <f t="shared" si="80"/>
        <v>-3.8382957803726448E-3</v>
      </c>
      <c r="I486">
        <f t="shared" si="80"/>
        <v>-1.0597813626819117E-2</v>
      </c>
      <c r="J486">
        <f t="shared" si="80"/>
        <v>4.8124690673458773E-2</v>
      </c>
      <c r="K486">
        <f t="shared" si="80"/>
        <v>-2.9287703599227458E-2</v>
      </c>
    </row>
    <row r="487" spans="1:11">
      <c r="A487" s="1">
        <v>45408</v>
      </c>
      <c r="B487">
        <f t="shared" ref="B487:K487" si="81">B82-B$399</f>
        <v>2.4561450286703702E-3</v>
      </c>
      <c r="C487">
        <f t="shared" si="81"/>
        <v>-5.1319682911294328E-4</v>
      </c>
      <c r="D487">
        <f t="shared" si="81"/>
        <v>1.7285599856743619E-2</v>
      </c>
      <c r="E487">
        <f t="shared" si="81"/>
        <v>-8.8787763458935669E-3</v>
      </c>
      <c r="F487">
        <f t="shared" si="81"/>
        <v>2.3799500837523705E-3</v>
      </c>
      <c r="G487">
        <f t="shared" si="81"/>
        <v>5.7819450051270704E-2</v>
      </c>
      <c r="H487">
        <f t="shared" si="81"/>
        <v>-5.9492074514921863E-3</v>
      </c>
      <c r="I487">
        <f t="shared" si="81"/>
        <v>4.3232534350060494E-3</v>
      </c>
      <c r="J487">
        <f t="shared" si="81"/>
        <v>-1.2632631531459815E-2</v>
      </c>
      <c r="K487">
        <f t="shared" si="81"/>
        <v>-2.3940252816409838E-2</v>
      </c>
    </row>
    <row r="488" spans="1:11">
      <c r="A488" s="1">
        <v>45411</v>
      </c>
      <c r="B488">
        <f t="shared" ref="B488:K488" si="82">B83-B$399</f>
        <v>3.749377698785112E-2</v>
      </c>
      <c r="C488">
        <f t="shared" si="82"/>
        <v>4.3458691099887373E-3</v>
      </c>
      <c r="D488">
        <f t="shared" si="82"/>
        <v>-1.0974883339975081E-2</v>
      </c>
      <c r="E488">
        <f t="shared" si="82"/>
        <v>-5.658257615953009E-3</v>
      </c>
      <c r="F488">
        <f t="shared" si="82"/>
        <v>-1.7364250989059118E-4</v>
      </c>
      <c r="G488">
        <f t="shared" si="82"/>
        <v>-3.6856245928587623E-3</v>
      </c>
      <c r="H488">
        <f t="shared" si="82"/>
        <v>3.4659057101896784E-3</v>
      </c>
      <c r="I488">
        <f t="shared" si="82"/>
        <v>5.6237818314885078E-4</v>
      </c>
      <c r="J488">
        <f t="shared" si="82"/>
        <v>0.15154242427742731</v>
      </c>
      <c r="K488">
        <f t="shared" si="82"/>
        <v>5.1941555435464489E-3</v>
      </c>
    </row>
    <row r="489" spans="1:11">
      <c r="A489" s="1">
        <v>45412</v>
      </c>
      <c r="B489">
        <f t="shared" ref="B489:K489" si="83">B84-B$399</f>
        <v>-3.2568533461830244E-2</v>
      </c>
      <c r="C489">
        <f t="shared" si="83"/>
        <v>-4.8652732349392987E-3</v>
      </c>
      <c r="D489">
        <f t="shared" si="83"/>
        <v>-3.3077690755116115E-2</v>
      </c>
      <c r="E489">
        <f t="shared" si="83"/>
        <v>-1.8375875437817987E-2</v>
      </c>
      <c r="F489">
        <f t="shared" si="83"/>
        <v>-1.8672636590321798E-2</v>
      </c>
      <c r="G489">
        <f t="shared" si="83"/>
        <v>-1.9376541763650279E-2</v>
      </c>
      <c r="H489">
        <f t="shared" si="83"/>
        <v>-1.0291278531947535E-3</v>
      </c>
      <c r="I489">
        <f t="shared" si="83"/>
        <v>1.4670090538501015E-3</v>
      </c>
      <c r="J489">
        <f t="shared" si="83"/>
        <v>-5.702792739601685E-2</v>
      </c>
      <c r="K489">
        <f t="shared" si="83"/>
        <v>-5.8136563558054003E-3</v>
      </c>
    </row>
    <row r="490" spans="1:11">
      <c r="A490" s="1">
        <v>45413</v>
      </c>
      <c r="B490">
        <f t="shared" ref="B490:K490" si="84">B85-B$399</f>
        <v>2.1566459264833422E-2</v>
      </c>
      <c r="C490">
        <f t="shared" si="84"/>
        <v>2.0770892585620323E-3</v>
      </c>
      <c r="D490">
        <f t="shared" si="84"/>
        <v>1.345114057182896E-2</v>
      </c>
      <c r="E490">
        <f t="shared" si="84"/>
        <v>-6.1473508715675701E-4</v>
      </c>
      <c r="F490">
        <f t="shared" si="84"/>
        <v>-2.0347037778187346E-2</v>
      </c>
      <c r="G490">
        <f t="shared" si="84"/>
        <v>-4.2835930934200739E-2</v>
      </c>
      <c r="H490">
        <f t="shared" si="84"/>
        <v>-4.0438225703462978E-3</v>
      </c>
      <c r="I490">
        <f t="shared" si="84"/>
        <v>-0.15911911999519079</v>
      </c>
      <c r="J490">
        <f t="shared" si="84"/>
        <v>-1.9477386804825182E-2</v>
      </c>
      <c r="K490">
        <f t="shared" si="84"/>
        <v>1.3472023072661751E-2</v>
      </c>
    </row>
    <row r="491" spans="1:11">
      <c r="A491" s="1">
        <v>45414</v>
      </c>
      <c r="B491">
        <f t="shared" ref="B491:K491" si="85">B86-B$399</f>
        <v>4.309866316118733E-2</v>
      </c>
      <c r="C491">
        <f t="shared" si="85"/>
        <v>4.5557099826326131E-4</v>
      </c>
      <c r="D491">
        <f t="shared" si="85"/>
        <v>6.3847327637860532E-3</v>
      </c>
      <c r="E491">
        <f t="shared" si="85"/>
        <v>2.1802685984232243E-2</v>
      </c>
      <c r="F491">
        <f t="shared" si="85"/>
        <v>2.337743313713582E-2</v>
      </c>
      <c r="G491">
        <f t="shared" si="85"/>
        <v>2.9493101745614758E-2</v>
      </c>
      <c r="H491">
        <f t="shared" si="85"/>
        <v>1.9893713311592864E-3</v>
      </c>
      <c r="I491">
        <f t="shared" si="85"/>
        <v>6.2381749798329136E-3</v>
      </c>
      <c r="J491">
        <f t="shared" si="85"/>
        <v>-1.4156905142167948E-3</v>
      </c>
      <c r="K491">
        <f t="shared" si="85"/>
        <v>-9.3802429678455229E-3</v>
      </c>
    </row>
    <row r="492" spans="1:11">
      <c r="A492" s="1">
        <v>45415</v>
      </c>
      <c r="B492">
        <f t="shared" ref="B492:K492" si="86">B87-B$399</f>
        <v>5.2539659266756574E-3</v>
      </c>
      <c r="C492">
        <f t="shared" si="86"/>
        <v>2.3904853299006553E-3</v>
      </c>
      <c r="D492">
        <f t="shared" si="86"/>
        <v>2.1211563484820908E-2</v>
      </c>
      <c r="E492">
        <f t="shared" si="86"/>
        <v>2.2550439830177963E-2</v>
      </c>
      <c r="F492">
        <f t="shared" si="86"/>
        <v>-2.3496870137085109E-3</v>
      </c>
      <c r="G492">
        <f t="shared" si="86"/>
        <v>3.0695580096096797E-2</v>
      </c>
      <c r="H492">
        <f t="shared" si="86"/>
        <v>4.2662805204324332E-3</v>
      </c>
      <c r="I492">
        <f t="shared" si="86"/>
        <v>-2.4633685238112501E-2</v>
      </c>
      <c r="J492">
        <f t="shared" si="86"/>
        <v>5.0284889002279558E-3</v>
      </c>
      <c r="K492">
        <f t="shared" si="86"/>
        <v>-2.6836553416537822E-3</v>
      </c>
    </row>
    <row r="493" spans="1:11">
      <c r="A493" s="1">
        <v>45418</v>
      </c>
      <c r="B493">
        <f t="shared" ref="B493:K493" si="87">B88-B$399</f>
        <v>-8.0110364221092582E-3</v>
      </c>
      <c r="C493">
        <f t="shared" si="87"/>
        <v>2.3821420145695945E-3</v>
      </c>
      <c r="D493">
        <f t="shared" si="87"/>
        <v>1.5960128817425825E-2</v>
      </c>
      <c r="E493">
        <f t="shared" si="87"/>
        <v>2.7873140261579558E-2</v>
      </c>
      <c r="F493">
        <f t="shared" si="87"/>
        <v>1.3594693828941419E-2</v>
      </c>
      <c r="G493">
        <f t="shared" si="87"/>
        <v>3.3804777981323253E-2</v>
      </c>
      <c r="H493">
        <f t="shared" si="87"/>
        <v>-1.5966804309751593E-3</v>
      </c>
      <c r="I493">
        <f t="shared" si="87"/>
        <v>-3.2165814134328483E-3</v>
      </c>
      <c r="J493">
        <f t="shared" si="87"/>
        <v>1.8176283307595419E-2</v>
      </c>
      <c r="K493">
        <f t="shared" si="87"/>
        <v>3.5824657979904163E-3</v>
      </c>
    </row>
    <row r="494" spans="1:11">
      <c r="A494" s="1">
        <v>45419</v>
      </c>
      <c r="B494">
        <f t="shared" ref="B494:K494" si="88">B89-B$399</f>
        <v>-9.1971617408854126E-3</v>
      </c>
      <c r="C494">
        <f t="shared" si="88"/>
        <v>3.8171780683434139E-3</v>
      </c>
      <c r="D494">
        <f t="shared" si="88"/>
        <v>-1.111444918744818E-2</v>
      </c>
      <c r="E494">
        <f t="shared" si="88"/>
        <v>1.2568496367291461E-2</v>
      </c>
      <c r="F494">
        <f t="shared" si="88"/>
        <v>4.9626235790761874E-3</v>
      </c>
      <c r="G494">
        <f t="shared" si="88"/>
        <v>-2.114907160014684E-2</v>
      </c>
      <c r="H494">
        <f t="shared" si="88"/>
        <v>1.2789260939264026E-2</v>
      </c>
      <c r="I494">
        <f t="shared" si="88"/>
        <v>-5.8311569448108534E-3</v>
      </c>
      <c r="J494">
        <f t="shared" si="88"/>
        <v>-3.9143098536579754E-2</v>
      </c>
      <c r="K494">
        <f t="shared" si="88"/>
        <v>6.3697498868747057E-3</v>
      </c>
    </row>
    <row r="495" spans="1:11">
      <c r="A495" s="1">
        <v>45420</v>
      </c>
      <c r="B495">
        <f t="shared" ref="B495:K495" si="89">B90-B$399</f>
        <v>2.0596953652884671E-2</v>
      </c>
      <c r="C495">
        <f t="shared" si="89"/>
        <v>3.1596937467655525E-3</v>
      </c>
      <c r="D495">
        <f t="shared" si="89"/>
        <v>1.973407995394819E-3</v>
      </c>
      <c r="E495">
        <f t="shared" si="89"/>
        <v>3.1680825508542698E-3</v>
      </c>
      <c r="F495">
        <f t="shared" si="89"/>
        <v>-1.5620301727371376E-3</v>
      </c>
      <c r="G495">
        <f t="shared" si="89"/>
        <v>-5.5043951565207378E-3</v>
      </c>
      <c r="H495">
        <f t="shared" si="89"/>
        <v>-3.1498949218203821E-3</v>
      </c>
      <c r="I495">
        <f t="shared" si="89"/>
        <v>1.3448799786201717E-2</v>
      </c>
      <c r="J495">
        <f t="shared" si="89"/>
        <v>-1.8904826618876758E-2</v>
      </c>
      <c r="K495">
        <f t="shared" si="89"/>
        <v>-8.1583411167053949E-3</v>
      </c>
    </row>
    <row r="496" spans="1:11">
      <c r="A496" s="1">
        <v>45421</v>
      </c>
      <c r="B496">
        <f t="shared" ref="B496:K496" si="90">B91-B$399</f>
        <v>4.9884994549810931E-3</v>
      </c>
      <c r="C496">
        <f t="shared" si="90"/>
        <v>-3.5808858371127236E-5</v>
      </c>
      <c r="D496">
        <f t="shared" si="90"/>
        <v>3.377546369176324E-3</v>
      </c>
      <c r="E496">
        <f t="shared" si="90"/>
        <v>1.7409676329279166E-3</v>
      </c>
      <c r="F496">
        <f t="shared" si="90"/>
        <v>-1.6732249492882199E-3</v>
      </c>
      <c r="G496">
        <f t="shared" si="90"/>
        <v>-2.2351948556860901E-2</v>
      </c>
      <c r="H496">
        <f t="shared" si="90"/>
        <v>3.9403601784931989E-3</v>
      </c>
      <c r="I496">
        <f t="shared" si="90"/>
        <v>2.9315633086607219E-2</v>
      </c>
      <c r="J496">
        <f t="shared" si="90"/>
        <v>-1.7266215511072037E-2</v>
      </c>
      <c r="K496">
        <f t="shared" si="90"/>
        <v>9.7725466761489493E-3</v>
      </c>
    </row>
    <row r="497" spans="1:11">
      <c r="A497" s="1">
        <v>45422</v>
      </c>
      <c r="B497">
        <f t="shared" ref="B497:K497" si="91">B92-B$399</f>
        <v>-1.5119034865363196E-2</v>
      </c>
      <c r="C497">
        <f t="shared" si="91"/>
        <v>5.5299931204074119E-3</v>
      </c>
      <c r="D497">
        <f t="shared" si="91"/>
        <v>4.9109103081808195E-3</v>
      </c>
      <c r="E497">
        <f t="shared" si="91"/>
        <v>-4.5511644155005731E-3</v>
      </c>
      <c r="F497">
        <f t="shared" si="91"/>
        <v>-2.5770003043228948E-2</v>
      </c>
      <c r="G497">
        <f t="shared" si="91"/>
        <v>8.807886004215058E-3</v>
      </c>
      <c r="H497">
        <f t="shared" si="91"/>
        <v>9.9924541155170816E-3</v>
      </c>
      <c r="I497">
        <f t="shared" si="91"/>
        <v>5.3375419813109694E-3</v>
      </c>
      <c r="J497">
        <f t="shared" si="91"/>
        <v>-2.1879133656352457E-2</v>
      </c>
      <c r="K497">
        <f t="shared" si="91"/>
        <v>4.4606544790298094E-3</v>
      </c>
    </row>
    <row r="498" spans="1:11">
      <c r="A498" s="1">
        <v>45425</v>
      </c>
      <c r="B498">
        <f t="shared" ref="B498:K498" si="92">B93-B$399</f>
        <v>-3.9385363651683316E-4</v>
      </c>
      <c r="C498">
        <f t="shared" si="92"/>
        <v>4.5453546723406794E-3</v>
      </c>
      <c r="D498">
        <f t="shared" si="92"/>
        <v>-3.417476993795895E-3</v>
      </c>
      <c r="E498">
        <f t="shared" si="92"/>
        <v>6.8058047220503366E-3</v>
      </c>
      <c r="F498">
        <f t="shared" si="92"/>
        <v>2.0037262842449791E-2</v>
      </c>
      <c r="G498">
        <f t="shared" si="92"/>
        <v>1.8604629965865409E-3</v>
      </c>
      <c r="H498">
        <f t="shared" si="92"/>
        <v>6.4503629361695207E-3</v>
      </c>
      <c r="I498">
        <f t="shared" si="92"/>
        <v>5.7541745539456922E-4</v>
      </c>
      <c r="J498">
        <f t="shared" si="92"/>
        <v>1.8773592438328168E-2</v>
      </c>
      <c r="K498">
        <f t="shared" si="92"/>
        <v>-1.3352655983615749E-2</v>
      </c>
    </row>
    <row r="499" spans="1:11">
      <c r="A499" s="1">
        <v>45426</v>
      </c>
      <c r="B499">
        <f t="shared" ref="B499:K499" si="93">B94-B$399</f>
        <v>1.2999761331751574E-2</v>
      </c>
      <c r="C499">
        <f t="shared" si="93"/>
        <v>-8.0627716213886366E-3</v>
      </c>
      <c r="D499">
        <f t="shared" si="93"/>
        <v>5.9063589511929729E-3</v>
      </c>
      <c r="E499">
        <f t="shared" si="93"/>
        <v>-7.3099707477472502E-3</v>
      </c>
      <c r="F499">
        <f t="shared" si="93"/>
        <v>1.2187376068689816E-3</v>
      </c>
      <c r="G499">
        <f t="shared" si="93"/>
        <v>6.6502306846196162E-3</v>
      </c>
      <c r="H499">
        <f t="shared" si="93"/>
        <v>-5.4170765666904349E-3</v>
      </c>
      <c r="I499">
        <f t="shared" si="93"/>
        <v>-7.5640149050541037E-3</v>
      </c>
      <c r="J499">
        <f t="shared" si="93"/>
        <v>3.1401310036768118E-2</v>
      </c>
      <c r="K499">
        <f t="shared" si="93"/>
        <v>1.2446173177842136E-4</v>
      </c>
    </row>
    <row r="500" spans="1:11">
      <c r="A500" s="1">
        <v>45427</v>
      </c>
      <c r="B500">
        <f t="shared" ref="B500:K500" si="94">B95-B$399</f>
        <v>-2.0858087189990097E-2</v>
      </c>
      <c r="C500">
        <f t="shared" si="94"/>
        <v>-3.7700265035305654E-5</v>
      </c>
      <c r="D500">
        <f t="shared" si="94"/>
        <v>1.6525608957829854E-2</v>
      </c>
      <c r="E500">
        <f t="shared" si="94"/>
        <v>-2.7860054920068578E-3</v>
      </c>
      <c r="F500">
        <f t="shared" si="94"/>
        <v>-1.1606382949276394E-2</v>
      </c>
      <c r="G500">
        <f t="shared" si="94"/>
        <v>3.1901482192033537E-2</v>
      </c>
      <c r="H500">
        <f t="shared" si="94"/>
        <v>-2.0027896061748352E-3</v>
      </c>
      <c r="I500">
        <f t="shared" si="94"/>
        <v>5.8125437699795522E-4</v>
      </c>
      <c r="J500">
        <f t="shared" si="94"/>
        <v>-2.1577422607896347E-2</v>
      </c>
      <c r="K500">
        <f t="shared" si="94"/>
        <v>6.1500478209246942E-3</v>
      </c>
    </row>
    <row r="501" spans="1:11">
      <c r="A501" s="1">
        <v>45428</v>
      </c>
      <c r="B501">
        <f t="shared" ref="B501:K501" si="95">B96-B$399</f>
        <v>3.372896192087E-2</v>
      </c>
      <c r="C501">
        <f t="shared" si="95"/>
        <v>2.4964949802004873E-3</v>
      </c>
      <c r="D501">
        <f t="shared" si="95"/>
        <v>-5.8980925859547359E-3</v>
      </c>
      <c r="E501">
        <f t="shared" si="95"/>
        <v>-7.4477576989752641E-3</v>
      </c>
      <c r="F501">
        <f t="shared" si="95"/>
        <v>1.5546755216339205E-3</v>
      </c>
      <c r="G501">
        <f t="shared" si="95"/>
        <v>-6.8000901346214077E-3</v>
      </c>
      <c r="H501">
        <f t="shared" si="95"/>
        <v>2.0615354254320709E-2</v>
      </c>
      <c r="I501">
        <f t="shared" si="95"/>
        <v>1.6524270534917698E-3</v>
      </c>
      <c r="J501">
        <f t="shared" si="95"/>
        <v>3.3585387074826605E-3</v>
      </c>
      <c r="K501">
        <f t="shared" si="95"/>
        <v>2.2305492984598242E-3</v>
      </c>
    </row>
    <row r="502" spans="1:11">
      <c r="A502" s="1">
        <v>45429</v>
      </c>
      <c r="B502">
        <f t="shared" ref="B502:K502" si="96">B97-B$399</f>
        <v>1.0874877405622157E-2</v>
      </c>
      <c r="C502">
        <f t="shared" si="96"/>
        <v>-5.0931724364027871E-3</v>
      </c>
      <c r="D502">
        <f t="shared" si="96"/>
        <v>-2.8109377328917463E-3</v>
      </c>
      <c r="E502">
        <f t="shared" si="96"/>
        <v>1.477147536915663E-2</v>
      </c>
      <c r="F502">
        <f t="shared" si="96"/>
        <v>4.9317890872170433E-3</v>
      </c>
      <c r="G502">
        <f t="shared" si="96"/>
        <v>-2.3860219161320251E-2</v>
      </c>
      <c r="H502">
        <f t="shared" si="96"/>
        <v>-4.7478146104213944E-3</v>
      </c>
      <c r="I502">
        <f t="shared" si="96"/>
        <v>3.379496990579433E-2</v>
      </c>
      <c r="J502">
        <f t="shared" si="96"/>
        <v>1.3458442163897754E-2</v>
      </c>
      <c r="K502">
        <f t="shared" si="96"/>
        <v>3.2749874958522408E-3</v>
      </c>
    </row>
    <row r="503" spans="1:11">
      <c r="A503" s="1">
        <v>45432</v>
      </c>
      <c r="B503">
        <f t="shared" ref="B503:K503" si="97">B98-B$399</f>
        <v>8.9736555261187897E-3</v>
      </c>
      <c r="C503">
        <f t="shared" si="97"/>
        <v>-7.8113204521375653E-3</v>
      </c>
      <c r="D503">
        <f t="shared" si="97"/>
        <v>1.1249989969827082E-2</v>
      </c>
      <c r="E503">
        <f t="shared" si="97"/>
        <v>2.9192231389916726E-2</v>
      </c>
      <c r="F503">
        <f t="shared" si="97"/>
        <v>-3.9841120129251329E-3</v>
      </c>
      <c r="G503">
        <f t="shared" si="97"/>
        <v>2.0945100038411935E-2</v>
      </c>
      <c r="H503">
        <f t="shared" si="97"/>
        <v>-1.0042291439199989E-2</v>
      </c>
      <c r="I503">
        <f t="shared" si="97"/>
        <v>-4.3261515461264863E-3</v>
      </c>
      <c r="J503">
        <f t="shared" si="97"/>
        <v>-1.5670833709479238E-2</v>
      </c>
      <c r="K503">
        <f t="shared" si="97"/>
        <v>-1.7408760586581987E-2</v>
      </c>
    </row>
    <row r="504" spans="1:11">
      <c r="A504" s="1">
        <v>45433</v>
      </c>
      <c r="B504">
        <f t="shared" ref="B504:K504" si="98">B99-B$399</f>
        <v>-9.8083213755464863E-3</v>
      </c>
      <c r="C504">
        <f t="shared" si="98"/>
        <v>4.9207368949820088E-3</v>
      </c>
      <c r="D504">
        <f t="shared" si="98"/>
        <v>7.7407106344280644E-3</v>
      </c>
      <c r="E504">
        <f t="shared" si="98"/>
        <v>1.2719324783465437E-2</v>
      </c>
      <c r="F504">
        <f t="shared" si="98"/>
        <v>1.1905696418178414E-2</v>
      </c>
      <c r="G504">
        <f t="shared" si="98"/>
        <v>2.4575781399488999E-3</v>
      </c>
      <c r="H504">
        <f t="shared" si="98"/>
        <v>4.5470834974356026E-3</v>
      </c>
      <c r="I504">
        <f t="shared" si="98"/>
        <v>1.9770099761312523E-3</v>
      </c>
      <c r="J504">
        <f t="shared" si="98"/>
        <v>6.5063761151354108E-2</v>
      </c>
      <c r="K504">
        <f t="shared" si="98"/>
        <v>2.4178789906488664E-3</v>
      </c>
    </row>
    <row r="505" spans="1:11">
      <c r="A505" s="1">
        <v>45434</v>
      </c>
      <c r="B505">
        <f t="shared" ref="B505:K505" si="99">B100-B$399</f>
        <v>8.1159985372100726E-3</v>
      </c>
      <c r="C505">
        <f t="shared" si="99"/>
        <v>9.1747529180535381E-4</v>
      </c>
      <c r="D505">
        <f t="shared" si="99"/>
        <v>2.4913115645559679E-3</v>
      </c>
      <c r="E505">
        <f t="shared" si="99"/>
        <v>-1.8143338303755304E-2</v>
      </c>
      <c r="F505">
        <f t="shared" si="99"/>
        <v>-2.983648205610799E-3</v>
      </c>
      <c r="G505">
        <f t="shared" si="99"/>
        <v>-8.5071038753889456E-3</v>
      </c>
      <c r="H505">
        <f t="shared" si="99"/>
        <v>5.8542087066889596E-3</v>
      </c>
      <c r="I505">
        <f t="shared" si="99"/>
        <v>3.8255829185393268E-2</v>
      </c>
      <c r="J505">
        <f t="shared" si="99"/>
        <v>-3.6307053728068792E-2</v>
      </c>
      <c r="K505">
        <f t="shared" si="99"/>
        <v>9.0251937941690369E-3</v>
      </c>
    </row>
    <row r="506" spans="1:11">
      <c r="A506" s="1">
        <v>45435</v>
      </c>
      <c r="B506">
        <f t="shared" ref="B506:K506" si="100">B101-B$399</f>
        <v>-7.5533179099219583E-2</v>
      </c>
      <c r="C506">
        <f t="shared" si="100"/>
        <v>-1.495768516736235E-2</v>
      </c>
      <c r="D506">
        <f t="shared" si="100"/>
        <v>-9.1343090862467807E-3</v>
      </c>
      <c r="E506">
        <f t="shared" si="100"/>
        <v>-1.0052419224388874E-2</v>
      </c>
      <c r="F506">
        <f t="shared" si="100"/>
        <v>-1.1427959884741755E-2</v>
      </c>
      <c r="G506">
        <f t="shared" si="100"/>
        <v>8.92601101757175E-2</v>
      </c>
      <c r="H506">
        <f t="shared" si="100"/>
        <v>-1.5210273763072267E-2</v>
      </c>
      <c r="I506">
        <f t="shared" si="100"/>
        <v>-3.0200602372962747E-2</v>
      </c>
      <c r="J506">
        <f t="shared" si="100"/>
        <v>-3.6893995080374095E-2</v>
      </c>
      <c r="K506">
        <f t="shared" si="100"/>
        <v>-1.5760246297947325E-2</v>
      </c>
    </row>
    <row r="507" spans="1:11">
      <c r="A507" s="1">
        <v>45436</v>
      </c>
      <c r="B507">
        <f t="shared" ref="B507:K507" si="101">B102-B$399</f>
        <v>1.3412077298007035E-2</v>
      </c>
      <c r="C507">
        <f t="shared" si="101"/>
        <v>-1.9626358461880037E-3</v>
      </c>
      <c r="D507">
        <f t="shared" si="101"/>
        <v>6.4421901659377371E-3</v>
      </c>
      <c r="E507">
        <f t="shared" si="101"/>
        <v>1.4872513379321774E-2</v>
      </c>
      <c r="F507">
        <f t="shared" si="101"/>
        <v>4.2931009542054432E-3</v>
      </c>
      <c r="G507">
        <f t="shared" si="101"/>
        <v>2.1786537263047412E-2</v>
      </c>
      <c r="H507">
        <f t="shared" si="101"/>
        <v>-6.8634369346064457E-3</v>
      </c>
      <c r="I507">
        <f t="shared" si="101"/>
        <v>6.8069879333313345E-3</v>
      </c>
      <c r="J507">
        <f t="shared" si="101"/>
        <v>3.0129750458267445E-2</v>
      </c>
      <c r="K507">
        <f t="shared" si="101"/>
        <v>2.0689157199345466E-3</v>
      </c>
    </row>
    <row r="508" spans="1:11">
      <c r="A508" s="1">
        <v>45440</v>
      </c>
      <c r="B508">
        <f t="shared" ref="B508:K508" si="102">B103-B$399</f>
        <v>3.2070240367680415E-3</v>
      </c>
      <c r="C508">
        <f t="shared" si="102"/>
        <v>-3.4165379816549261E-3</v>
      </c>
      <c r="D508">
        <f t="shared" si="102"/>
        <v>-5.8617686404559223E-4</v>
      </c>
      <c r="E508">
        <f t="shared" si="102"/>
        <v>9.2099141544605074E-4</v>
      </c>
      <c r="F508">
        <f t="shared" si="102"/>
        <v>3.1887568121124047E-3</v>
      </c>
      <c r="G508">
        <f t="shared" si="102"/>
        <v>6.5868065884367277E-2</v>
      </c>
      <c r="H508">
        <f t="shared" si="102"/>
        <v>-2.562368423810801E-2</v>
      </c>
      <c r="I508">
        <f t="shared" si="102"/>
        <v>-1.7968156346996233E-2</v>
      </c>
      <c r="J508">
        <f t="shared" si="102"/>
        <v>-1.5418765373244093E-2</v>
      </c>
      <c r="K508">
        <f t="shared" si="102"/>
        <v>-1.0853409932753924E-2</v>
      </c>
    </row>
    <row r="509" spans="1:11">
      <c r="A509" s="1">
        <v>45441</v>
      </c>
      <c r="B509">
        <f t="shared" ref="B509:K509" si="103">B104-B$399</f>
        <v>-1.959285238785529E-2</v>
      </c>
      <c r="C509">
        <f t="shared" si="103"/>
        <v>-2.4541802073539446E-3</v>
      </c>
      <c r="D509">
        <f t="shared" si="103"/>
        <v>-3.6305990413293267E-3</v>
      </c>
      <c r="E509">
        <f t="shared" si="103"/>
        <v>6.1015268817803964E-3</v>
      </c>
      <c r="F509">
        <f t="shared" si="103"/>
        <v>-3.123054143863145E-3</v>
      </c>
      <c r="G509">
        <f t="shared" si="103"/>
        <v>4.1760309750182283E-3</v>
      </c>
      <c r="H509">
        <f t="shared" si="103"/>
        <v>-1.2585472352767744E-2</v>
      </c>
      <c r="I509">
        <f t="shared" si="103"/>
        <v>-8.0882208797714659E-3</v>
      </c>
      <c r="J509">
        <f t="shared" si="103"/>
        <v>-4.6950497754883365E-3</v>
      </c>
      <c r="K509">
        <f t="shared" si="103"/>
        <v>-4.4938567544580846E-3</v>
      </c>
    </row>
    <row r="510" spans="1:11">
      <c r="A510" s="1">
        <v>45442</v>
      </c>
      <c r="B510">
        <f t="shared" ref="B510:K510" si="104">B105-B$399</f>
        <v>6.4066617708455394E-3</v>
      </c>
      <c r="C510">
        <f t="shared" si="104"/>
        <v>3.8626692651267344E-3</v>
      </c>
      <c r="D510">
        <f t="shared" si="104"/>
        <v>-3.4744428146972192E-2</v>
      </c>
      <c r="E510">
        <f t="shared" si="104"/>
        <v>-1.3190097809266997E-2</v>
      </c>
      <c r="F510">
        <f t="shared" si="104"/>
        <v>1.9881395881797062E-2</v>
      </c>
      <c r="G510">
        <f t="shared" si="104"/>
        <v>-4.1602281294709054E-2</v>
      </c>
      <c r="H510">
        <f t="shared" si="104"/>
        <v>-3.638071977195232E-3</v>
      </c>
      <c r="I510">
        <f t="shared" si="104"/>
        <v>2.4109472178852277E-2</v>
      </c>
      <c r="J510">
        <f t="shared" si="104"/>
        <v>1.3229997716436358E-2</v>
      </c>
      <c r="K510">
        <f t="shared" si="104"/>
        <v>6.0252955891822299E-3</v>
      </c>
    </row>
    <row r="511" spans="1:11">
      <c r="A511" s="1">
        <v>45443</v>
      </c>
      <c r="B511">
        <f t="shared" ref="B511:K511" si="105">B106-B$399</f>
        <v>2.8131380730476781E-2</v>
      </c>
      <c r="C511">
        <f t="shared" si="105"/>
        <v>1.4978170177635747E-2</v>
      </c>
      <c r="D511">
        <f t="shared" si="105"/>
        <v>1.5114225678948599E-4</v>
      </c>
      <c r="E511">
        <f t="shared" si="105"/>
        <v>-1.1883789035623425E-2</v>
      </c>
      <c r="F511">
        <f t="shared" si="105"/>
        <v>1.7585443564426165E-2</v>
      </c>
      <c r="G511">
        <f t="shared" si="105"/>
        <v>-1.178232575819377E-2</v>
      </c>
      <c r="H511">
        <f t="shared" si="105"/>
        <v>1.4471736370412882E-2</v>
      </c>
      <c r="I511">
        <f t="shared" si="105"/>
        <v>1.8192852791029879E-2</v>
      </c>
      <c r="J511">
        <f t="shared" si="105"/>
        <v>-5.4978384380911967E-3</v>
      </c>
      <c r="K511">
        <f t="shared" si="105"/>
        <v>1.4931529730682944E-2</v>
      </c>
    </row>
    <row r="512" spans="1:11">
      <c r="A512" s="1">
        <v>45446</v>
      </c>
      <c r="B512">
        <f t="shared" ref="B512:K512" si="106">B107-B$399</f>
        <v>3.9185257202513486E-2</v>
      </c>
      <c r="C512">
        <f t="shared" si="106"/>
        <v>-5.1319682911294328E-4</v>
      </c>
      <c r="D512">
        <f t="shared" si="106"/>
        <v>-4.8365753965915323E-3</v>
      </c>
      <c r="E512">
        <f t="shared" si="106"/>
        <v>-1.4761453368832998E-2</v>
      </c>
      <c r="F512">
        <f t="shared" si="106"/>
        <v>-2.4935258807874268E-3</v>
      </c>
      <c r="G512">
        <f t="shared" si="106"/>
        <v>4.5017947008775872E-2</v>
      </c>
      <c r="H512">
        <f t="shared" si="106"/>
        <v>-9.3821507932561037E-3</v>
      </c>
      <c r="I512">
        <f t="shared" si="106"/>
        <v>2.2842086217669134E-2</v>
      </c>
      <c r="J512">
        <f t="shared" si="106"/>
        <v>-1.1578456811133054E-2</v>
      </c>
      <c r="K512">
        <f t="shared" si="106"/>
        <v>-1.6826815146788331E-3</v>
      </c>
    </row>
    <row r="513" spans="1:11">
      <c r="A513" s="1">
        <v>45447</v>
      </c>
      <c r="B513">
        <f t="shared" ref="B513:K513" si="107">B108-B$399</f>
        <v>2.1941064107486592E-2</v>
      </c>
      <c r="C513">
        <f t="shared" si="107"/>
        <v>1.5536337097416692E-2</v>
      </c>
      <c r="D513">
        <f t="shared" si="107"/>
        <v>5.2083936225029307E-3</v>
      </c>
      <c r="E513">
        <f t="shared" si="107"/>
        <v>-5.9817618814789735E-3</v>
      </c>
      <c r="F513">
        <f t="shared" si="107"/>
        <v>4.0655099850078879E-3</v>
      </c>
      <c r="G513">
        <f t="shared" si="107"/>
        <v>8.559429644502568E-3</v>
      </c>
      <c r="H513">
        <f t="shared" si="107"/>
        <v>1.5811176070744119E-2</v>
      </c>
      <c r="I513">
        <f t="shared" si="107"/>
        <v>8.3059476565069314E-3</v>
      </c>
      <c r="J513">
        <f t="shared" si="107"/>
        <v>-1.0148841438964929E-2</v>
      </c>
      <c r="K513">
        <f t="shared" si="107"/>
        <v>-1.5438347597469869E-4</v>
      </c>
    </row>
    <row r="514" spans="1:11">
      <c r="A514" s="1">
        <v>45448</v>
      </c>
      <c r="B514">
        <f t="shared" ref="B514:K514" si="108">B109-B$399</f>
        <v>6.519342844653447E-3</v>
      </c>
      <c r="C514">
        <f t="shared" si="108"/>
        <v>-8.2594754717297192E-4</v>
      </c>
      <c r="D514">
        <f t="shared" si="108"/>
        <v>1.8125248031299016E-2</v>
      </c>
      <c r="E514">
        <f t="shared" si="108"/>
        <v>2.6969344565209111E-2</v>
      </c>
      <c r="F514">
        <f t="shared" si="108"/>
        <v>-3.969143242202643E-3</v>
      </c>
      <c r="G514">
        <f t="shared" si="108"/>
        <v>4.7619512699593691E-2</v>
      </c>
      <c r="H514">
        <f t="shared" si="108"/>
        <v>-2.0236121072983982E-3</v>
      </c>
      <c r="I514">
        <f t="shared" si="108"/>
        <v>-2.0032657699338385E-2</v>
      </c>
      <c r="J514">
        <f t="shared" si="108"/>
        <v>-2.1075590048662621E-4</v>
      </c>
      <c r="K514">
        <f t="shared" si="108"/>
        <v>-6.8558871622049359E-3</v>
      </c>
    </row>
    <row r="515" spans="1:11">
      <c r="A515" s="1">
        <v>45449</v>
      </c>
      <c r="B515">
        <f t="shared" ref="B515:K515" si="109">B110-B$399</f>
        <v>8.2678813559926064E-3</v>
      </c>
      <c r="C515">
        <f t="shared" si="109"/>
        <v>3.0851187407470678E-3</v>
      </c>
      <c r="D515">
        <f t="shared" si="109"/>
        <v>2.4448717322724022E-4</v>
      </c>
      <c r="E515">
        <f t="shared" si="109"/>
        <v>-5.2491314443588438E-3</v>
      </c>
      <c r="F515">
        <f t="shared" si="109"/>
        <v>1.5306985327689827E-2</v>
      </c>
      <c r="G515">
        <f t="shared" si="109"/>
        <v>-1.5713413147212696E-2</v>
      </c>
      <c r="H515">
        <f t="shared" si="109"/>
        <v>-1.3948883084112774E-3</v>
      </c>
      <c r="I515">
        <f t="shared" si="109"/>
        <v>3.47525107427781E-3</v>
      </c>
      <c r="J515">
        <f t="shared" si="109"/>
        <v>1.5273267194322603E-2</v>
      </c>
      <c r="K515">
        <f t="shared" si="109"/>
        <v>2.8847776743834842E-3</v>
      </c>
    </row>
    <row r="516" spans="1:11">
      <c r="A516" s="1">
        <v>45450</v>
      </c>
      <c r="B516">
        <f t="shared" ref="B516:K516" si="110">B111-B$399</f>
        <v>-6.1661801001996978E-3</v>
      </c>
      <c r="C516">
        <f t="shared" si="110"/>
        <v>-4.2544743825390693E-3</v>
      </c>
      <c r="D516">
        <f t="shared" si="110"/>
        <v>-2.536419525671393E-3</v>
      </c>
      <c r="E516">
        <f t="shared" si="110"/>
        <v>-1.3428922738992042E-2</v>
      </c>
      <c r="F516">
        <f t="shared" si="110"/>
        <v>9.1350894706642271E-3</v>
      </c>
      <c r="G516">
        <f t="shared" si="110"/>
        <v>-4.8453490629303837E-3</v>
      </c>
      <c r="H516">
        <f t="shared" si="110"/>
        <v>-4.4079379589344577E-3</v>
      </c>
      <c r="I516">
        <f t="shared" si="110"/>
        <v>-8.3519413669908872E-4</v>
      </c>
      <c r="J516">
        <f t="shared" si="110"/>
        <v>-4.1119255109553395E-3</v>
      </c>
      <c r="K516">
        <f t="shared" si="110"/>
        <v>3.1078124068735636E-3</v>
      </c>
    </row>
    <row r="517" spans="1:11">
      <c r="A517" s="1">
        <v>45453</v>
      </c>
      <c r="B517">
        <f t="shared" ref="B517:K517" si="111">B112-B$399</f>
        <v>-6.3259987212165849E-4</v>
      </c>
      <c r="C517">
        <f t="shared" si="111"/>
        <v>-5.5201760408059627E-3</v>
      </c>
      <c r="D517">
        <f t="shared" si="111"/>
        <v>8.5262765287241887E-3</v>
      </c>
      <c r="E517">
        <f t="shared" si="111"/>
        <v>2.1656298274877494E-3</v>
      </c>
      <c r="F517">
        <f t="shared" si="111"/>
        <v>-5.2326755197821141E-3</v>
      </c>
      <c r="G517">
        <f t="shared" si="111"/>
        <v>3.5251399139690203E-3</v>
      </c>
      <c r="H517">
        <f t="shared" si="111"/>
        <v>-2.9774821575475282E-2</v>
      </c>
      <c r="I517">
        <f t="shared" si="111"/>
        <v>1.7433972446422221E-3</v>
      </c>
      <c r="J517">
        <f t="shared" si="111"/>
        <v>-2.2317836063736652E-2</v>
      </c>
      <c r="K517">
        <f t="shared" si="111"/>
        <v>-1.9457241139493652E-4</v>
      </c>
    </row>
    <row r="518" spans="1:11">
      <c r="A518" s="1">
        <v>45454</v>
      </c>
      <c r="B518">
        <f t="shared" ref="B518:K518" si="112">B113-B$399</f>
        <v>-2.4302179946458051E-2</v>
      </c>
      <c r="C518">
        <f t="shared" si="112"/>
        <v>-1.1422653969651079E-3</v>
      </c>
      <c r="D518">
        <f t="shared" si="112"/>
        <v>1.0283538926006988E-2</v>
      </c>
      <c r="E518">
        <f t="shared" si="112"/>
        <v>3.7259803875238661E-3</v>
      </c>
      <c r="F518">
        <f t="shared" si="112"/>
        <v>-8.9028929768496397E-4</v>
      </c>
      <c r="G518">
        <f t="shared" si="112"/>
        <v>-1.1080245713428418E-2</v>
      </c>
      <c r="H518">
        <f t="shared" si="112"/>
        <v>-4.7264228506704838E-3</v>
      </c>
      <c r="I518">
        <f t="shared" si="112"/>
        <v>-2.1300103333099962E-2</v>
      </c>
      <c r="J518">
        <f t="shared" si="112"/>
        <v>-1.9536929994620356E-2</v>
      </c>
      <c r="K518">
        <f t="shared" si="112"/>
        <v>5.5167858144918166E-3</v>
      </c>
    </row>
    <row r="519" spans="1:11">
      <c r="A519" s="1">
        <v>45455</v>
      </c>
      <c r="B519">
        <f t="shared" ref="B519:K519" si="113">B114-B$399</f>
        <v>-1.5257837739878927E-2</v>
      </c>
      <c r="C519">
        <f t="shared" si="113"/>
        <v>-1.1056074198087911E-2</v>
      </c>
      <c r="D519">
        <f t="shared" si="113"/>
        <v>1.8409490295215894E-2</v>
      </c>
      <c r="E519">
        <f t="shared" si="113"/>
        <v>-2.29655852432118E-4</v>
      </c>
      <c r="F519">
        <f t="shared" si="113"/>
        <v>-2.2379659057667464E-2</v>
      </c>
      <c r="G519">
        <f t="shared" si="113"/>
        <v>3.154466164115538E-2</v>
      </c>
      <c r="H519">
        <f t="shared" si="113"/>
        <v>-7.2355308956411043E-3</v>
      </c>
      <c r="I519">
        <f t="shared" si="113"/>
        <v>-6.728123037395348E-3</v>
      </c>
      <c r="J519">
        <f t="shared" si="113"/>
        <v>3.7322365406523186E-2</v>
      </c>
      <c r="K519">
        <f t="shared" si="113"/>
        <v>-5.7575256441112091E-3</v>
      </c>
    </row>
    <row r="520" spans="1:11">
      <c r="A520" s="1">
        <v>45456</v>
      </c>
      <c r="B520">
        <f t="shared" ref="B520:K520" si="114">B115-B$399</f>
        <v>-1.0786244705458798E-2</v>
      </c>
      <c r="C520">
        <f t="shared" si="114"/>
        <v>1.236243673360666E-3</v>
      </c>
      <c r="D520">
        <f t="shared" si="114"/>
        <v>2.2072429589316321E-4</v>
      </c>
      <c r="E520">
        <f t="shared" si="114"/>
        <v>2.3646996122269081E-3</v>
      </c>
      <c r="F520">
        <f t="shared" si="114"/>
        <v>5.8012732739384353E-3</v>
      </c>
      <c r="G520">
        <f t="shared" si="114"/>
        <v>3.1287327904645668E-2</v>
      </c>
      <c r="H520">
        <f t="shared" si="114"/>
        <v>-2.7751364217463137E-3</v>
      </c>
      <c r="I520">
        <f t="shared" si="114"/>
        <v>1.0489752963316437E-2</v>
      </c>
      <c r="J520">
        <f t="shared" si="114"/>
        <v>2.769096507565456E-2</v>
      </c>
      <c r="K520">
        <f t="shared" si="114"/>
        <v>-9.3782788048431319E-4</v>
      </c>
    </row>
    <row r="521" spans="1:11">
      <c r="A521" s="1">
        <v>45457</v>
      </c>
      <c r="B521">
        <f t="shared" ref="B521:K521" si="115">B116-B$399</f>
        <v>-1.8983460653808452E-2</v>
      </c>
      <c r="C521">
        <f t="shared" si="115"/>
        <v>2.0660135854582784E-4</v>
      </c>
      <c r="D521">
        <f t="shared" si="115"/>
        <v>1.2837808272852112E-3</v>
      </c>
      <c r="E521">
        <f t="shared" si="115"/>
        <v>2.211828961455559E-2</v>
      </c>
      <c r="F521">
        <f t="shared" si="115"/>
        <v>-7.9242592768747778E-3</v>
      </c>
      <c r="G521">
        <f t="shared" si="115"/>
        <v>1.3577975503195226E-2</v>
      </c>
      <c r="H521">
        <f t="shared" si="115"/>
        <v>3.2152637217620649E-3</v>
      </c>
      <c r="I521">
        <f t="shared" si="115"/>
        <v>-7.6971157360760187E-3</v>
      </c>
      <c r="J521">
        <f t="shared" si="115"/>
        <v>-2.5969157476309613E-2</v>
      </c>
      <c r="K521">
        <f t="shared" si="115"/>
        <v>-2.9312712498000414E-3</v>
      </c>
    </row>
    <row r="522" spans="1:11">
      <c r="A522" s="1">
        <v>45460</v>
      </c>
      <c r="B522">
        <f t="shared" ref="B522:K522" si="116">B117-B$399</f>
        <v>6.3162550429549155E-3</v>
      </c>
      <c r="C522">
        <f t="shared" si="116"/>
        <v>6.0592797750041527E-4</v>
      </c>
      <c r="D522">
        <f t="shared" si="116"/>
        <v>1.2147043073161182E-2</v>
      </c>
      <c r="E522">
        <f t="shared" si="116"/>
        <v>7.0778588200788878E-3</v>
      </c>
      <c r="F522">
        <f t="shared" si="116"/>
        <v>1.7703485718982961E-2</v>
      </c>
      <c r="G522">
        <f t="shared" si="116"/>
        <v>-1.0760666162078327E-2</v>
      </c>
      <c r="H522">
        <f t="shared" si="116"/>
        <v>1.4500392768613925E-2</v>
      </c>
      <c r="I522">
        <f t="shared" si="116"/>
        <v>2.0748046073317473E-2</v>
      </c>
      <c r="J522">
        <f t="shared" si="116"/>
        <v>5.1447851443359241E-2</v>
      </c>
      <c r="K522">
        <f t="shared" si="116"/>
        <v>3.9973106139623979E-3</v>
      </c>
    </row>
    <row r="523" spans="1:11">
      <c r="A523" s="1">
        <v>45461</v>
      </c>
      <c r="B523">
        <f t="shared" ref="B523:K523" si="117">B118-B$399</f>
        <v>-1.9061093343837814E-2</v>
      </c>
      <c r="C523">
        <f t="shared" si="117"/>
        <v>-3.5350057677602719E-4</v>
      </c>
      <c r="D523">
        <f t="shared" si="117"/>
        <v>-5.4857198665880643E-3</v>
      </c>
      <c r="E523">
        <f t="shared" si="117"/>
        <v>1.2001881870367827E-2</v>
      </c>
      <c r="F523">
        <f t="shared" si="117"/>
        <v>-1.8519232798240735E-3</v>
      </c>
      <c r="G523">
        <f t="shared" si="117"/>
        <v>3.1183562515085528E-2</v>
      </c>
      <c r="H523">
        <f t="shared" si="117"/>
        <v>2.323046727586433E-3</v>
      </c>
      <c r="I523">
        <f t="shared" si="117"/>
        <v>-1.423832337829368E-2</v>
      </c>
      <c r="J523">
        <f t="shared" si="117"/>
        <v>-1.5291160955515127E-2</v>
      </c>
      <c r="K523">
        <f t="shared" si="117"/>
        <v>-4.6022700972337552E-3</v>
      </c>
    </row>
    <row r="524" spans="1:11">
      <c r="A524" s="1">
        <v>45463</v>
      </c>
      <c r="B524">
        <f t="shared" ref="B524:K524" si="118">B119-B$399</f>
        <v>7.4843646996316012E-3</v>
      </c>
      <c r="C524">
        <f t="shared" si="118"/>
        <v>-7.6982553578166021E-3</v>
      </c>
      <c r="D524">
        <f t="shared" si="118"/>
        <v>-2.3920913180780347E-3</v>
      </c>
      <c r="E524">
        <f t="shared" si="118"/>
        <v>-1.2241833057094418E-2</v>
      </c>
      <c r="F524">
        <f t="shared" si="118"/>
        <v>8.7990441356057391E-3</v>
      </c>
      <c r="G524">
        <f t="shared" si="118"/>
        <v>-3.9339654519423395E-2</v>
      </c>
      <c r="H524">
        <f t="shared" si="118"/>
        <v>1.477883671860638E-3</v>
      </c>
      <c r="I524">
        <f t="shared" si="118"/>
        <v>-6.3292393641558673E-3</v>
      </c>
      <c r="J524">
        <f t="shared" si="118"/>
        <v>-1.9323962353617597E-2</v>
      </c>
      <c r="K524">
        <f t="shared" si="118"/>
        <v>1.6754116095318447E-2</v>
      </c>
    </row>
    <row r="525" spans="1:11">
      <c r="A525" s="1">
        <v>45464</v>
      </c>
      <c r="B525">
        <f t="shared" ref="B525:K525" si="119">B120-B$399</f>
        <v>1.4729645711239526E-3</v>
      </c>
      <c r="C525">
        <f t="shared" si="119"/>
        <v>8.975428577703776E-3</v>
      </c>
      <c r="D525">
        <f t="shared" si="119"/>
        <v>8.195989769200121E-3</v>
      </c>
      <c r="E525">
        <f t="shared" si="119"/>
        <v>7.8833723898786307E-3</v>
      </c>
      <c r="F525">
        <f t="shared" si="119"/>
        <v>1.7310159480033685E-2</v>
      </c>
      <c r="G525">
        <f t="shared" si="119"/>
        <v>-3.6127844159220379E-2</v>
      </c>
      <c r="H525">
        <f t="shared" si="119"/>
        <v>3.8764373561023268E-3</v>
      </c>
      <c r="I525">
        <f t="shared" si="119"/>
        <v>2.0391841567596238E-3</v>
      </c>
      <c r="J525">
        <f t="shared" si="119"/>
        <v>6.4040079084662464E-3</v>
      </c>
      <c r="K525">
        <f t="shared" si="119"/>
        <v>8.7986444756276566E-3</v>
      </c>
    </row>
    <row r="526" spans="1:11">
      <c r="A526" s="1">
        <v>45467</v>
      </c>
      <c r="B526">
        <f t="shared" ref="B526:K526" si="120">B121-B$399</f>
        <v>1.4384329820862301E-2</v>
      </c>
      <c r="C526">
        <f t="shared" si="120"/>
        <v>1.8604182644872232E-2</v>
      </c>
      <c r="D526">
        <f t="shared" si="120"/>
        <v>-5.6493574252049891E-3</v>
      </c>
      <c r="E526">
        <f t="shared" si="120"/>
        <v>-2.7480660343498216E-2</v>
      </c>
      <c r="F526">
        <f t="shared" si="120"/>
        <v>3.6101672896150647E-4</v>
      </c>
      <c r="G526">
        <f t="shared" si="120"/>
        <v>-7.077668558907585E-2</v>
      </c>
      <c r="H526">
        <f t="shared" si="120"/>
        <v>5.0589817837615207E-3</v>
      </c>
      <c r="I526">
        <f t="shared" si="120"/>
        <v>-2.5968647636788276E-3</v>
      </c>
      <c r="J526">
        <f t="shared" si="120"/>
        <v>-3.8763051888266904E-3</v>
      </c>
      <c r="K526">
        <f t="shared" si="120"/>
        <v>1.4654318141949438E-2</v>
      </c>
    </row>
    <row r="527" spans="1:11">
      <c r="A527" s="1">
        <v>45468</v>
      </c>
      <c r="B527">
        <f t="shared" ref="B527:K527" si="121">B122-B$399</f>
        <v>-2.2335654098448447E-2</v>
      </c>
      <c r="C527">
        <f t="shared" si="121"/>
        <v>-2.5453744685679006E-3</v>
      </c>
      <c r="D527">
        <f t="shared" si="121"/>
        <v>6.3685337441097426E-3</v>
      </c>
      <c r="E527">
        <f t="shared" si="121"/>
        <v>2.509101895810164E-3</v>
      </c>
      <c r="F527">
        <f t="shared" si="121"/>
        <v>-2.4440967595889193E-2</v>
      </c>
      <c r="G527">
        <f t="shared" si="121"/>
        <v>6.3627800010182145E-2</v>
      </c>
      <c r="H527">
        <f t="shared" si="121"/>
        <v>-4.0666032408370719E-3</v>
      </c>
      <c r="I527">
        <f t="shared" si="121"/>
        <v>-5.988302137654453E-3</v>
      </c>
      <c r="J527">
        <f t="shared" si="121"/>
        <v>2.4598810394398884E-2</v>
      </c>
      <c r="K527">
        <f t="shared" si="121"/>
        <v>-1.3351613754128702E-2</v>
      </c>
    </row>
    <row r="528" spans="1:11">
      <c r="A528" s="1">
        <v>45469</v>
      </c>
      <c r="B528">
        <f t="shared" ref="B528:K528" si="122">B123-B$399</f>
        <v>1.9415677015069917E-2</v>
      </c>
      <c r="C528">
        <f t="shared" si="122"/>
        <v>2.7762742250974589E-3</v>
      </c>
      <c r="D528">
        <f t="shared" si="122"/>
        <v>1.7249793658944555E-3</v>
      </c>
      <c r="E528">
        <f t="shared" si="122"/>
        <v>5.2944541594735512E-3</v>
      </c>
      <c r="F528">
        <f t="shared" si="122"/>
        <v>-6.8183944975097489E-3</v>
      </c>
      <c r="G528">
        <f t="shared" si="122"/>
        <v>-1.4775411514276766E-3</v>
      </c>
      <c r="H528">
        <f t="shared" si="122"/>
        <v>-3.3684802128317571E-3</v>
      </c>
      <c r="I528">
        <f t="shared" si="122"/>
        <v>-1.9840124059678031E-3</v>
      </c>
      <c r="J528">
        <f t="shared" si="122"/>
        <v>4.6618375847207474E-2</v>
      </c>
      <c r="K528">
        <f t="shared" si="122"/>
        <v>1.501367021891561E-3</v>
      </c>
    </row>
    <row r="529" spans="1:11">
      <c r="A529" s="1">
        <v>45470</v>
      </c>
      <c r="B529">
        <f t="shared" ref="B529:K529" si="123">B124-B$399</f>
        <v>2.246319204142861E-2</v>
      </c>
      <c r="C529">
        <f t="shared" si="123"/>
        <v>-2.6990283035773269E-3</v>
      </c>
      <c r="D529">
        <f t="shared" si="123"/>
        <v>5.6788028941824663E-4</v>
      </c>
      <c r="E529">
        <f t="shared" si="123"/>
        <v>7.2548405192401372E-3</v>
      </c>
      <c r="F529">
        <f t="shared" si="123"/>
        <v>1.8459407557699494E-3</v>
      </c>
      <c r="G529">
        <f t="shared" si="123"/>
        <v>-2.3002783637037838E-2</v>
      </c>
      <c r="H529">
        <f t="shared" si="123"/>
        <v>-2.6021806828404582E-3</v>
      </c>
      <c r="I529">
        <f t="shared" si="123"/>
        <v>7.9286937247557109E-4</v>
      </c>
      <c r="J529">
        <f t="shared" si="123"/>
        <v>3.8203178554732757E-3</v>
      </c>
      <c r="K529">
        <f t="shared" si="123"/>
        <v>7.3788369700759861E-4</v>
      </c>
    </row>
    <row r="530" spans="1:11">
      <c r="A530" s="1">
        <v>45471</v>
      </c>
      <c r="B530">
        <f t="shared" ref="B530:K530" si="124">B125-B$399</f>
        <v>-2.7413391750395421E-3</v>
      </c>
      <c r="C530">
        <f t="shared" si="124"/>
        <v>-4.5813678753709505E-3</v>
      </c>
      <c r="D530">
        <f t="shared" si="124"/>
        <v>-1.398678538041441E-2</v>
      </c>
      <c r="E530">
        <f t="shared" si="124"/>
        <v>-1.6381511284480784E-2</v>
      </c>
      <c r="F530">
        <f t="shared" si="124"/>
        <v>-0.19934481074939614</v>
      </c>
      <c r="G530">
        <f t="shared" si="124"/>
        <v>-7.5655320614699834E-3</v>
      </c>
      <c r="H530">
        <f t="shared" si="124"/>
        <v>-7.7228056775174832E-3</v>
      </c>
      <c r="I530">
        <f t="shared" si="124"/>
        <v>-1.7885963099780754E-2</v>
      </c>
      <c r="J530">
        <f t="shared" si="124"/>
        <v>8.0334501799057476E-4</v>
      </c>
      <c r="K530">
        <f t="shared" si="124"/>
        <v>-4.541521398638019E-3</v>
      </c>
    </row>
    <row r="531" spans="1:11">
      <c r="A531" s="1">
        <v>45474</v>
      </c>
      <c r="B531">
        <f t="shared" ref="B531:K531" si="125">B126-B$399</f>
        <v>2.5766065967561542E-2</v>
      </c>
      <c r="C531">
        <f t="shared" si="125"/>
        <v>-6.3262791944786508E-3</v>
      </c>
      <c r="D531">
        <f t="shared" si="125"/>
        <v>2.0923458291685751E-2</v>
      </c>
      <c r="E531">
        <f t="shared" si="125"/>
        <v>-4.4397866649959466E-3</v>
      </c>
      <c r="F531">
        <f t="shared" si="125"/>
        <v>1.9834868439483247E-2</v>
      </c>
      <c r="G531">
        <f t="shared" si="125"/>
        <v>2.2155824858731115E-3</v>
      </c>
      <c r="H531">
        <f t="shared" si="125"/>
        <v>-1.209244336221915E-2</v>
      </c>
      <c r="I531">
        <f t="shared" si="125"/>
        <v>-9.5929301810149335E-3</v>
      </c>
      <c r="J531">
        <f t="shared" si="125"/>
        <v>5.9014972628539233E-2</v>
      </c>
      <c r="K531">
        <f t="shared" si="125"/>
        <v>-1.1079283800928333E-2</v>
      </c>
    </row>
    <row r="532" spans="1:11">
      <c r="A532" s="1">
        <v>45475</v>
      </c>
      <c r="B532">
        <f t="shared" ref="B532:K532" si="126">B127-B$399</f>
        <v>-6.8576753386547177E-3</v>
      </c>
      <c r="C532">
        <f t="shared" si="126"/>
        <v>-2.5674711423950328E-3</v>
      </c>
      <c r="D532">
        <f t="shared" si="126"/>
        <v>4.6249203430912692E-3</v>
      </c>
      <c r="E532">
        <f t="shared" si="126"/>
        <v>6.3048006289528353E-3</v>
      </c>
      <c r="F532">
        <f t="shared" si="126"/>
        <v>-9.8185002498101127E-3</v>
      </c>
      <c r="G532">
        <f t="shared" si="126"/>
        <v>-1.7049757696052603E-2</v>
      </c>
      <c r="H532">
        <f t="shared" si="126"/>
        <v>4.512625412790852E-3</v>
      </c>
      <c r="I532">
        <f t="shared" si="126"/>
        <v>-4.2337569554829011E-3</v>
      </c>
      <c r="J532">
        <f t="shared" si="126"/>
        <v>0.10044596759702336</v>
      </c>
      <c r="K532">
        <f t="shared" si="126"/>
        <v>9.6272239757407146E-3</v>
      </c>
    </row>
    <row r="533" spans="1:11">
      <c r="A533" s="1">
        <v>45476</v>
      </c>
      <c r="B533">
        <f t="shared" ref="B533:K533" si="127">B128-B$399</f>
        <v>-5.988175762871745E-3</v>
      </c>
      <c r="C533">
        <f t="shared" si="127"/>
        <v>2.337148153092767E-3</v>
      </c>
      <c r="D533">
        <f t="shared" si="127"/>
        <v>2.2859486119877347E-3</v>
      </c>
      <c r="E533">
        <f t="shared" si="127"/>
        <v>1.7535339086543499E-3</v>
      </c>
      <c r="F533">
        <f t="shared" si="127"/>
        <v>-1.0056917423417732E-2</v>
      </c>
      <c r="G533">
        <f t="shared" si="127"/>
        <v>4.1796218140944308E-2</v>
      </c>
      <c r="H533">
        <f t="shared" si="127"/>
        <v>-5.7142758587347383E-3</v>
      </c>
      <c r="I533">
        <f t="shared" si="127"/>
        <v>-7.7631164820881702E-3</v>
      </c>
      <c r="J533">
        <f t="shared" si="127"/>
        <v>6.3897473783944239E-2</v>
      </c>
      <c r="K533">
        <f t="shared" si="127"/>
        <v>-7.4183927162989197E-3</v>
      </c>
    </row>
    <row r="534" spans="1:11">
      <c r="A534" s="1">
        <v>45478</v>
      </c>
      <c r="B534">
        <f t="shared" ref="B534:K534" si="128">B129-B$399</f>
        <v>2.8195936619796525E-3</v>
      </c>
      <c r="C534">
        <f t="shared" si="128"/>
        <v>6.2765694571842948E-3</v>
      </c>
      <c r="D534">
        <f t="shared" si="128"/>
        <v>1.3777942964760662E-2</v>
      </c>
      <c r="E534">
        <f t="shared" si="128"/>
        <v>9.3686447587504901E-3</v>
      </c>
      <c r="F534">
        <f t="shared" si="128"/>
        <v>2.98916046592458E-3</v>
      </c>
      <c r="G534">
        <f t="shared" si="128"/>
        <v>-2.3035102053630185E-2</v>
      </c>
      <c r="H534">
        <f t="shared" si="128"/>
        <v>1.1285165687960565E-2</v>
      </c>
      <c r="I534">
        <f t="shared" si="128"/>
        <v>-3.0980172781931523E-3</v>
      </c>
      <c r="J534">
        <f t="shared" si="128"/>
        <v>1.9293923301144277E-2</v>
      </c>
      <c r="K534">
        <f t="shared" si="128"/>
        <v>4.1748389620944034E-3</v>
      </c>
    </row>
    <row r="535" spans="1:11">
      <c r="A535" s="1">
        <v>45481</v>
      </c>
      <c r="B535">
        <f t="shared" ref="B535:K535" si="129">B130-B$399</f>
        <v>5.4626879211580655E-3</v>
      </c>
      <c r="C535">
        <f t="shared" si="129"/>
        <v>-1.3060288371579193E-2</v>
      </c>
      <c r="D535">
        <f t="shared" si="129"/>
        <v>-3.7812620341079873E-3</v>
      </c>
      <c r="E535">
        <f t="shared" si="129"/>
        <v>-9.6672358637883132E-3</v>
      </c>
      <c r="F535">
        <f t="shared" si="129"/>
        <v>-3.1088594894519414E-2</v>
      </c>
      <c r="G535">
        <f t="shared" si="129"/>
        <v>1.4898588312014014E-2</v>
      </c>
      <c r="H535">
        <f t="shared" si="129"/>
        <v>-1.3532138897929478E-2</v>
      </c>
      <c r="I535">
        <f t="shared" si="129"/>
        <v>-1.9805038414010278E-2</v>
      </c>
      <c r="J535">
        <f t="shared" si="129"/>
        <v>4.1189201678311742E-3</v>
      </c>
      <c r="K535">
        <f t="shared" si="129"/>
        <v>-7.8513277284783661E-3</v>
      </c>
    </row>
    <row r="536" spans="1:11">
      <c r="A536" s="1">
        <v>45482</v>
      </c>
      <c r="B536">
        <f t="shared" ref="B536:K536" si="130">B131-B$399</f>
        <v>-1.3992243678078215E-2</v>
      </c>
      <c r="C536">
        <f t="shared" si="130"/>
        <v>-4.8015862301126807E-3</v>
      </c>
      <c r="D536">
        <f t="shared" si="130"/>
        <v>-1.5328540249086572E-2</v>
      </c>
      <c r="E536">
        <f t="shared" si="130"/>
        <v>-2.5579417117282378E-3</v>
      </c>
      <c r="F536">
        <f t="shared" si="130"/>
        <v>-7.6128393856877852E-3</v>
      </c>
      <c r="G536">
        <f t="shared" si="130"/>
        <v>2.0868899101045446E-2</v>
      </c>
      <c r="H536">
        <f t="shared" si="130"/>
        <v>-1.0803186316288272E-3</v>
      </c>
      <c r="I536">
        <f t="shared" si="130"/>
        <v>-2.4750992436925256E-2</v>
      </c>
      <c r="J536">
        <f t="shared" si="130"/>
        <v>3.5596618627418655E-2</v>
      </c>
      <c r="K536">
        <f t="shared" si="130"/>
        <v>-9.943397845459237E-3</v>
      </c>
    </row>
    <row r="537" spans="1:11">
      <c r="A537" s="1">
        <v>45483</v>
      </c>
      <c r="B537">
        <f t="shared" ref="B537:K537" si="131">B132-B$399</f>
        <v>2.6722720736626683E-3</v>
      </c>
      <c r="C537">
        <f t="shared" si="131"/>
        <v>1.7200542108389235E-3</v>
      </c>
      <c r="D537">
        <f t="shared" si="131"/>
        <v>1.3643398475629467E-2</v>
      </c>
      <c r="E537">
        <f t="shared" si="131"/>
        <v>-1.4355366297609416E-2</v>
      </c>
      <c r="F537">
        <f t="shared" si="131"/>
        <v>1.5681036345544087E-3</v>
      </c>
      <c r="G537">
        <f t="shared" si="131"/>
        <v>2.2932366837048856E-2</v>
      </c>
      <c r="H537">
        <f t="shared" si="131"/>
        <v>1.0715025521391143E-2</v>
      </c>
      <c r="I537">
        <f t="shared" si="131"/>
        <v>-3.6431935394575319E-3</v>
      </c>
      <c r="J537">
        <f t="shared" si="131"/>
        <v>2.0184948893143366E-3</v>
      </c>
      <c r="K537">
        <f t="shared" si="131"/>
        <v>2.4832089958926463E-3</v>
      </c>
    </row>
    <row r="538" spans="1:11">
      <c r="A538" s="1">
        <v>45484</v>
      </c>
      <c r="B538">
        <f t="shared" ref="B538:K538" si="132">B133-B$399</f>
        <v>9.7797850046305599E-4</v>
      </c>
      <c r="C538">
        <f t="shared" si="132"/>
        <v>3.7840027048359711E-3</v>
      </c>
      <c r="D538">
        <f t="shared" si="132"/>
        <v>-2.5730337237424003E-2</v>
      </c>
      <c r="E538">
        <f t="shared" si="132"/>
        <v>-3.9302608600203792E-2</v>
      </c>
      <c r="F538">
        <f t="shared" si="132"/>
        <v>1.2181506704392343E-2</v>
      </c>
      <c r="G538">
        <f t="shared" si="132"/>
        <v>-5.960300095440213E-2</v>
      </c>
      <c r="H538">
        <f t="shared" si="132"/>
        <v>2.4772369667788196E-3</v>
      </c>
      <c r="I538">
        <f t="shared" si="132"/>
        <v>1.0550831767914484E-2</v>
      </c>
      <c r="J538">
        <f t="shared" si="132"/>
        <v>-8.5968022156201071E-2</v>
      </c>
      <c r="K538">
        <f t="shared" si="132"/>
        <v>1.4093634395123497E-2</v>
      </c>
    </row>
    <row r="539" spans="1:11">
      <c r="A539" s="1">
        <v>45485</v>
      </c>
      <c r="B539">
        <f t="shared" ref="B539:K539" si="133">B134-B$399</f>
        <v>-8.701703756695706E-3</v>
      </c>
      <c r="C539">
        <f t="shared" si="133"/>
        <v>8.9956282608090691E-3</v>
      </c>
      <c r="D539">
        <f t="shared" si="133"/>
        <v>-3.4873112448473432E-3</v>
      </c>
      <c r="E539">
        <f t="shared" si="133"/>
        <v>-1.0447676547519822E-2</v>
      </c>
      <c r="F539">
        <f t="shared" si="133"/>
        <v>8.7271708412418728E-4</v>
      </c>
      <c r="G539">
        <f t="shared" si="133"/>
        <v>1.0506545691780054E-2</v>
      </c>
      <c r="H539">
        <f t="shared" si="133"/>
        <v>1.5098259847582953E-2</v>
      </c>
      <c r="I539">
        <f t="shared" si="133"/>
        <v>2.0528857048807015E-2</v>
      </c>
      <c r="J539">
        <f t="shared" si="133"/>
        <v>2.8345040924249453E-2</v>
      </c>
      <c r="K539">
        <f t="shared" si="133"/>
        <v>7.8085695110523953E-3</v>
      </c>
    </row>
    <row r="540" spans="1:11">
      <c r="A540" s="1">
        <v>45488</v>
      </c>
      <c r="B540">
        <f t="shared" ref="B540:K540" si="134">B135-B$399</f>
        <v>-1.7554267106832104E-2</v>
      </c>
      <c r="C540">
        <f t="shared" si="134"/>
        <v>-5.0658684719148746E-3</v>
      </c>
      <c r="D540">
        <f t="shared" si="134"/>
        <v>-5.4200977699355737E-5</v>
      </c>
      <c r="E540">
        <f t="shared" si="134"/>
        <v>1.1107958465439939E-2</v>
      </c>
      <c r="F540">
        <f t="shared" si="134"/>
        <v>-2.8274885859200447E-2</v>
      </c>
      <c r="G540">
        <f t="shared" si="134"/>
        <v>-1.0126377326321214E-2</v>
      </c>
      <c r="H540">
        <f t="shared" si="134"/>
        <v>-1.4869549036154671E-2</v>
      </c>
      <c r="I540">
        <f t="shared" si="134"/>
        <v>-2.8140636119202488E-2</v>
      </c>
      <c r="J540">
        <f t="shared" si="134"/>
        <v>1.6239050036778679E-2</v>
      </c>
      <c r="K540">
        <f t="shared" si="134"/>
        <v>-4.03394965259292E-3</v>
      </c>
    </row>
    <row r="541" spans="1:11">
      <c r="A541" s="1">
        <v>45489</v>
      </c>
      <c r="B541">
        <f t="shared" ref="B541:K541" si="135">B136-B$399</f>
        <v>3.8745388949681554E-2</v>
      </c>
      <c r="C541">
        <f t="shared" si="135"/>
        <v>1.3049328600079286E-2</v>
      </c>
      <c r="D541">
        <f t="shared" si="135"/>
        <v>-1.0738804632770202E-2</v>
      </c>
      <c r="E541">
        <f t="shared" si="135"/>
        <v>-2.7559840308623552E-3</v>
      </c>
      <c r="F541">
        <f t="shared" si="135"/>
        <v>2.1498807797305411E-2</v>
      </c>
      <c r="G541">
        <f t="shared" si="135"/>
        <v>-2.0130665361288214E-2</v>
      </c>
      <c r="H541">
        <f t="shared" si="135"/>
        <v>5.769049888184277E-3</v>
      </c>
      <c r="I541">
        <f t="shared" si="135"/>
        <v>3.7594006294155206E-2</v>
      </c>
      <c r="J541">
        <f t="shared" si="135"/>
        <v>1.3989395494916689E-2</v>
      </c>
      <c r="K541">
        <f t="shared" si="135"/>
        <v>3.0563095867175839E-3</v>
      </c>
    </row>
    <row r="542" spans="1:11">
      <c r="A542" s="1">
        <v>45490</v>
      </c>
      <c r="B542">
        <f t="shared" ref="B542:K542" si="136">B137-B$399</f>
        <v>-6.5054272155890495E-3</v>
      </c>
      <c r="C542">
        <f t="shared" si="136"/>
        <v>1.4112680004161599E-2</v>
      </c>
      <c r="D542">
        <f t="shared" si="136"/>
        <v>-1.4305836581916184E-2</v>
      </c>
      <c r="E542">
        <f t="shared" si="136"/>
        <v>-1.6057431674991126E-2</v>
      </c>
      <c r="F542">
        <f t="shared" si="136"/>
        <v>4.0347980140574956E-3</v>
      </c>
      <c r="G542">
        <f t="shared" si="136"/>
        <v>-7.0175562047757045E-2</v>
      </c>
      <c r="H542">
        <f t="shared" si="136"/>
        <v>3.1412774819323919E-2</v>
      </c>
      <c r="I542">
        <f t="shared" si="136"/>
        <v>-5.7741403803213218E-3</v>
      </c>
      <c r="J542">
        <f t="shared" si="136"/>
        <v>-3.2942390798085072E-2</v>
      </c>
      <c r="K542">
        <f t="shared" si="136"/>
        <v>1.1213901434777226E-2</v>
      </c>
    </row>
    <row r="543" spans="1:11">
      <c r="A543" s="1">
        <v>45491</v>
      </c>
      <c r="B543">
        <f t="shared" ref="B543:K543" si="137">B138-B$399</f>
        <v>-2.4942256046744653E-2</v>
      </c>
      <c r="C543">
        <f t="shared" si="137"/>
        <v>-8.2002415866117484E-4</v>
      </c>
      <c r="D543">
        <f t="shared" si="137"/>
        <v>-8.0604874446268265E-3</v>
      </c>
      <c r="E543">
        <f t="shared" si="137"/>
        <v>-9.3846859049005454E-3</v>
      </c>
      <c r="F543">
        <f t="shared" si="137"/>
        <v>-8.9790652876016053E-3</v>
      </c>
      <c r="G543">
        <f t="shared" si="137"/>
        <v>2.2337166483488102E-2</v>
      </c>
      <c r="H543">
        <f t="shared" si="137"/>
        <v>3.1018855016170543E-3</v>
      </c>
      <c r="I543">
        <f t="shared" si="137"/>
        <v>-1.2461241764336392E-2</v>
      </c>
      <c r="J543">
        <f t="shared" si="137"/>
        <v>1.4108618049562642E-3</v>
      </c>
      <c r="K543">
        <f t="shared" si="137"/>
        <v>-3.8065957901583657E-3</v>
      </c>
    </row>
    <row r="544" spans="1:11">
      <c r="A544" s="1">
        <v>45492</v>
      </c>
      <c r="B544">
        <f t="shared" ref="B544:K544" si="138">B139-B$399</f>
        <v>-3.1088905820820189E-3</v>
      </c>
      <c r="C544">
        <f t="shared" si="138"/>
        <v>1.0209288547600678E-3</v>
      </c>
      <c r="D544">
        <f t="shared" si="138"/>
        <v>-8.3610768214722325E-3</v>
      </c>
      <c r="E544">
        <f t="shared" si="138"/>
        <v>-1.764246445264955E-2</v>
      </c>
      <c r="F544">
        <f t="shared" si="138"/>
        <v>4.8850519106137368E-3</v>
      </c>
      <c r="G544">
        <f t="shared" si="138"/>
        <v>-3.003250179885969E-2</v>
      </c>
      <c r="H544">
        <f t="shared" si="138"/>
        <v>-5.6516035094554802E-3</v>
      </c>
      <c r="I544">
        <f t="shared" si="138"/>
        <v>6.8128498953200153E-2</v>
      </c>
      <c r="J544">
        <f t="shared" si="138"/>
        <v>-4.1770693918779342E-2</v>
      </c>
      <c r="K544">
        <f t="shared" si="138"/>
        <v>-1.3867234931924391E-2</v>
      </c>
    </row>
    <row r="545" spans="1:11">
      <c r="A545" s="1">
        <v>45495</v>
      </c>
      <c r="B545">
        <f t="shared" ref="B545:K545" si="139">B140-B$399</f>
        <v>-4.287421776966777E-3</v>
      </c>
      <c r="C545">
        <f t="shared" si="139"/>
        <v>-8.4777451687495006E-3</v>
      </c>
      <c r="D545">
        <f t="shared" si="139"/>
        <v>1.237947730076995E-2</v>
      </c>
      <c r="E545">
        <f t="shared" si="139"/>
        <v>1.9799674330378384E-2</v>
      </c>
      <c r="F545">
        <f t="shared" si="139"/>
        <v>3.0175064569975554E-2</v>
      </c>
      <c r="G545">
        <f t="shared" si="139"/>
        <v>4.3634355494673371E-2</v>
      </c>
      <c r="H545">
        <f t="shared" si="139"/>
        <v>-9.7610735262757525E-3</v>
      </c>
      <c r="I545">
        <f t="shared" si="139"/>
        <v>-3.4657399593391876E-2</v>
      </c>
      <c r="J545">
        <f t="shared" si="139"/>
        <v>4.9936454395798371E-2</v>
      </c>
      <c r="K545">
        <f t="shared" si="139"/>
        <v>8.0754887894285837E-3</v>
      </c>
    </row>
    <row r="546" spans="1:11">
      <c r="A546" s="1">
        <v>45496</v>
      </c>
      <c r="B546">
        <f t="shared" ref="B546:K546" si="140">B141-B$399</f>
        <v>4.2368287629679764E-2</v>
      </c>
      <c r="C546">
        <f t="shared" si="140"/>
        <v>2.4201914164699253E-3</v>
      </c>
      <c r="D546">
        <f t="shared" si="140"/>
        <v>3.3538452711727872E-3</v>
      </c>
      <c r="E546">
        <f t="shared" si="140"/>
        <v>-9.8783899501452815E-3</v>
      </c>
      <c r="F546">
        <f t="shared" si="140"/>
        <v>-1.9039140467620883E-2</v>
      </c>
      <c r="G546">
        <f t="shared" si="140"/>
        <v>-1.1626190207933819E-2</v>
      </c>
      <c r="H546">
        <f t="shared" si="140"/>
        <v>-7.9544540653874157E-3</v>
      </c>
      <c r="I546">
        <f t="shared" si="140"/>
        <v>-4.1325768671829442E-3</v>
      </c>
      <c r="J546">
        <f t="shared" si="140"/>
        <v>-2.1923509255339525E-2</v>
      </c>
      <c r="K546">
        <f t="shared" si="140"/>
        <v>2.9133721602075248E-3</v>
      </c>
    </row>
    <row r="547" spans="1:11">
      <c r="A547" s="1">
        <v>45497</v>
      </c>
      <c r="B547">
        <f t="shared" ref="B547:K547" si="141">B142-B$399</f>
        <v>-3.4375361152878363E-2</v>
      </c>
      <c r="C547">
        <f t="shared" si="141"/>
        <v>1.2571832896459073E-2</v>
      </c>
      <c r="D547">
        <f t="shared" si="141"/>
        <v>-3.6812989528435133E-2</v>
      </c>
      <c r="E547">
        <f t="shared" si="141"/>
        <v>-1.3090674657759869E-2</v>
      </c>
      <c r="F547">
        <f t="shared" si="141"/>
        <v>-3.1007495054445763E-2</v>
      </c>
      <c r="G547">
        <f t="shared" si="141"/>
        <v>-7.1967893305138253E-2</v>
      </c>
      <c r="H547">
        <f t="shared" si="141"/>
        <v>1.1642997797402967E-2</v>
      </c>
      <c r="I547">
        <f t="shared" si="141"/>
        <v>-2.1062911281913298E-2</v>
      </c>
      <c r="J547">
        <f t="shared" si="141"/>
        <v>-0.12487279265060418</v>
      </c>
      <c r="K547">
        <f t="shared" si="141"/>
        <v>1.5488332037188325E-3</v>
      </c>
    </row>
    <row r="548" spans="1:11">
      <c r="A548" s="1">
        <v>45498</v>
      </c>
      <c r="B548">
        <f t="shared" ref="B548:K548" si="142">B143-B$399</f>
        <v>2.3766763534071207E-2</v>
      </c>
      <c r="C548">
        <f t="shared" si="142"/>
        <v>3.4375221575940148E-3</v>
      </c>
      <c r="D548">
        <f t="shared" si="142"/>
        <v>-2.5439424543835285E-2</v>
      </c>
      <c r="E548">
        <f t="shared" si="142"/>
        <v>-5.545352532780377E-3</v>
      </c>
      <c r="F548">
        <f t="shared" si="142"/>
        <v>4.9651681595882634E-3</v>
      </c>
      <c r="G548">
        <f t="shared" si="142"/>
        <v>-2.1179124336025035E-2</v>
      </c>
      <c r="H548">
        <f t="shared" si="142"/>
        <v>1.7223737692630196E-2</v>
      </c>
      <c r="I548">
        <f t="shared" si="142"/>
        <v>-1.8555308293650718E-2</v>
      </c>
      <c r="J548">
        <f t="shared" si="142"/>
        <v>1.819636263967046E-2</v>
      </c>
      <c r="K548">
        <f t="shared" si="142"/>
        <v>3.8997125914684891E-2</v>
      </c>
    </row>
    <row r="549" spans="1:11">
      <c r="A549" s="1">
        <v>45499</v>
      </c>
      <c r="B549">
        <f t="shared" ref="B549:K549" si="143">B144-B$399</f>
        <v>1.3776339354496242E-2</v>
      </c>
      <c r="C549">
        <f t="shared" si="143"/>
        <v>1.4319704538545525E-2</v>
      </c>
      <c r="D549">
        <f t="shared" si="143"/>
        <v>1.5461465567924618E-2</v>
      </c>
      <c r="E549">
        <f t="shared" si="143"/>
        <v>-6.8476034680720593E-3</v>
      </c>
      <c r="F549">
        <f t="shared" si="143"/>
        <v>1.6567996220255968E-2</v>
      </c>
      <c r="G549">
        <f t="shared" si="143"/>
        <v>3.0106045965274091E-3</v>
      </c>
      <c r="H549">
        <f t="shared" si="143"/>
        <v>1.0392236775311205E-2</v>
      </c>
      <c r="I549">
        <f t="shared" si="143"/>
        <v>9.6122520037072914E-3</v>
      </c>
      <c r="J549">
        <f t="shared" si="143"/>
        <v>-3.569865704323761E-3</v>
      </c>
      <c r="K549">
        <f t="shared" si="143"/>
        <v>1.9073262327512983E-2</v>
      </c>
    </row>
    <row r="550" spans="1:11">
      <c r="A550" s="1">
        <v>45502</v>
      </c>
      <c r="B550">
        <f t="shared" ref="B550:K550" si="144">B145-B$399</f>
        <v>-7.813881101966064E-3</v>
      </c>
      <c r="C550">
        <f t="shared" si="144"/>
        <v>-3.7943889124182942E-3</v>
      </c>
      <c r="D550">
        <f t="shared" si="144"/>
        <v>2.4749618910009518E-3</v>
      </c>
      <c r="E550">
        <f t="shared" si="144"/>
        <v>-9.5427100387573387E-3</v>
      </c>
      <c r="F550">
        <f t="shared" si="144"/>
        <v>1.4107941761059796E-2</v>
      </c>
      <c r="G550">
        <f t="shared" si="144"/>
        <v>-1.6938202355847143E-2</v>
      </c>
      <c r="H550">
        <f t="shared" si="144"/>
        <v>2.9395791948515515E-3</v>
      </c>
      <c r="I550">
        <f t="shared" si="144"/>
        <v>1.5185681447831159E-2</v>
      </c>
      <c r="J550">
        <f t="shared" si="144"/>
        <v>5.4433229953994092E-2</v>
      </c>
      <c r="K550">
        <f t="shared" si="144"/>
        <v>-1.5398389726361053E-2</v>
      </c>
    </row>
    <row r="551" spans="1:11">
      <c r="A551" s="1">
        <v>45503</v>
      </c>
      <c r="B551">
        <f t="shared" ref="B551:K551" si="145">B146-B$399</f>
        <v>7.7100849095789788E-3</v>
      </c>
      <c r="C551">
        <f t="shared" si="145"/>
        <v>1.2205693671352208E-2</v>
      </c>
      <c r="D551">
        <f t="shared" si="145"/>
        <v>-9.8865532332383793E-3</v>
      </c>
      <c r="E551">
        <f t="shared" si="145"/>
        <v>-9.5440408716585528E-3</v>
      </c>
      <c r="F551">
        <f t="shared" si="145"/>
        <v>1.0932867195218144E-2</v>
      </c>
      <c r="G551">
        <f t="shared" si="145"/>
        <v>-7.4372573216131832E-2</v>
      </c>
      <c r="H551">
        <f t="shared" si="145"/>
        <v>1.0320225847182624E-4</v>
      </c>
      <c r="I551">
        <f t="shared" si="145"/>
        <v>9.4962300280753056E-3</v>
      </c>
      <c r="J551">
        <f t="shared" si="145"/>
        <v>-4.237125661022216E-2</v>
      </c>
      <c r="K551">
        <f t="shared" si="145"/>
        <v>1.8979075203977389E-2</v>
      </c>
    </row>
    <row r="552" spans="1:11">
      <c r="A552" s="1">
        <v>45504</v>
      </c>
      <c r="B552">
        <f t="shared" ref="B552:K552" si="146">B147-B$399</f>
        <v>2.0013250633265041E-2</v>
      </c>
      <c r="C552">
        <f t="shared" si="146"/>
        <v>-1.4402101832468877E-2</v>
      </c>
      <c r="D552">
        <f t="shared" si="146"/>
        <v>-1.1764075258259274E-2</v>
      </c>
      <c r="E552">
        <f t="shared" si="146"/>
        <v>6.7098766211904377E-3</v>
      </c>
      <c r="F552">
        <f t="shared" si="146"/>
        <v>7.7298634422283807E-3</v>
      </c>
      <c r="G552">
        <f t="shared" si="146"/>
        <v>0.12418477115499477</v>
      </c>
      <c r="H552">
        <f t="shared" si="146"/>
        <v>-2.6682698200162203E-3</v>
      </c>
      <c r="I552">
        <f t="shared" si="146"/>
        <v>2.6123944348643947E-2</v>
      </c>
      <c r="J552">
        <f t="shared" si="146"/>
        <v>4.092232526886426E-2</v>
      </c>
      <c r="K552">
        <f t="shared" si="146"/>
        <v>-8.2275354414848706E-3</v>
      </c>
    </row>
    <row r="553" spans="1:11">
      <c r="A553" s="1">
        <v>45505</v>
      </c>
      <c r="B553">
        <f t="shared" ref="B553:K553" si="147">B148-B$399</f>
        <v>-6.4482393563843721E-2</v>
      </c>
      <c r="C553">
        <f t="shared" si="147"/>
        <v>1.776655157505674E-2</v>
      </c>
      <c r="D553">
        <f t="shared" si="147"/>
        <v>-3.9222905849667219E-3</v>
      </c>
      <c r="E553">
        <f t="shared" si="147"/>
        <v>-8.1280859561618218E-3</v>
      </c>
      <c r="F553">
        <f t="shared" si="147"/>
        <v>-1.3028058540540332E-2</v>
      </c>
      <c r="G553">
        <f t="shared" si="147"/>
        <v>-7.0676917670634609E-2</v>
      </c>
      <c r="H553">
        <f t="shared" si="147"/>
        <v>1.3538915910264239E-2</v>
      </c>
      <c r="I553">
        <f t="shared" si="147"/>
        <v>-3.6777793344976557E-2</v>
      </c>
      <c r="J553">
        <f t="shared" si="147"/>
        <v>-6.7067343274142918E-2</v>
      </c>
      <c r="K553">
        <f t="shared" si="147"/>
        <v>6.6651196292546863E-3</v>
      </c>
    </row>
    <row r="554" spans="1:11">
      <c r="A554" s="1">
        <v>45506</v>
      </c>
      <c r="B554">
        <f t="shared" ref="B554:K554" si="148">B149-B$399</f>
        <v>-4.6886406355512937E-2</v>
      </c>
      <c r="C554">
        <f t="shared" si="148"/>
        <v>1.9645910230180749E-2</v>
      </c>
      <c r="D554">
        <f t="shared" si="148"/>
        <v>-2.1624140768103248E-2</v>
      </c>
      <c r="E554">
        <f t="shared" si="148"/>
        <v>-2.0498185571045265E-2</v>
      </c>
      <c r="F554">
        <f t="shared" si="148"/>
        <v>2.6305278240556077E-3</v>
      </c>
      <c r="G554">
        <f t="shared" si="148"/>
        <v>-2.1700308613651853E-2</v>
      </c>
      <c r="H554">
        <f t="shared" si="148"/>
        <v>1.7880489466019282E-2</v>
      </c>
      <c r="I554">
        <f t="shared" si="148"/>
        <v>9.907379478319869E-3</v>
      </c>
      <c r="J554">
        <f t="shared" si="148"/>
        <v>-4.3904328678273138E-2</v>
      </c>
      <c r="K554">
        <f t="shared" si="148"/>
        <v>-5.4156372060794747E-3</v>
      </c>
    </row>
    <row r="555" spans="1:11">
      <c r="A555" s="1">
        <v>45509</v>
      </c>
      <c r="B555">
        <f t="shared" ref="B555:K555" si="149">B150-B$399</f>
        <v>-1.718327669102631E-2</v>
      </c>
      <c r="C555">
        <f t="shared" si="149"/>
        <v>-1.8254580978517124E-2</v>
      </c>
      <c r="D555">
        <f t="shared" si="149"/>
        <v>-3.3615197138524885E-2</v>
      </c>
      <c r="E555">
        <f t="shared" si="149"/>
        <v>-2.7148950275787394E-2</v>
      </c>
      <c r="F555">
        <f t="shared" si="149"/>
        <v>-3.4531293408985961E-2</v>
      </c>
      <c r="G555">
        <f t="shared" si="149"/>
        <v>-6.751409514348411E-2</v>
      </c>
      <c r="H555">
        <f t="shared" si="149"/>
        <v>-2.2190248957647759E-2</v>
      </c>
      <c r="I555">
        <f t="shared" si="149"/>
        <v>-2.6965283208925005E-2</v>
      </c>
      <c r="J555">
        <f t="shared" si="149"/>
        <v>-4.3853483230954213E-2</v>
      </c>
      <c r="K555">
        <f t="shared" si="149"/>
        <v>-3.1372496663610375E-2</v>
      </c>
    </row>
    <row r="556" spans="1:11">
      <c r="A556" s="1">
        <v>45510</v>
      </c>
      <c r="B556">
        <f t="shared" ref="B556:K556" si="150">B151-B$399</f>
        <v>-1.1915823573520662E-2</v>
      </c>
      <c r="C556">
        <f t="shared" si="150"/>
        <v>-1.2472514639478341E-3</v>
      </c>
      <c r="D556">
        <f t="shared" si="150"/>
        <v>1.0328781842112292E-2</v>
      </c>
      <c r="E556">
        <f t="shared" si="150"/>
        <v>1.5853251598765553E-2</v>
      </c>
      <c r="F556">
        <f t="shared" si="150"/>
        <v>1.5585562633237638E-2</v>
      </c>
      <c r="G556">
        <f t="shared" si="150"/>
        <v>3.3893489405212696E-2</v>
      </c>
      <c r="H556">
        <f t="shared" si="150"/>
        <v>-8.6293671907827756E-3</v>
      </c>
      <c r="I556">
        <f t="shared" si="150"/>
        <v>2.0099889849169428E-2</v>
      </c>
      <c r="J556">
        <f t="shared" si="150"/>
        <v>7.3227829277907157E-3</v>
      </c>
      <c r="K556">
        <f t="shared" si="150"/>
        <v>-6.305560768495455E-4</v>
      </c>
    </row>
    <row r="557" spans="1:11">
      <c r="A557" s="1">
        <v>45511</v>
      </c>
      <c r="B557">
        <f t="shared" ref="B557:K557" si="151">B152-B$399</f>
        <v>-1.0908136580486333E-2</v>
      </c>
      <c r="C557">
        <f t="shared" si="151"/>
        <v>5.5116037337295479E-3</v>
      </c>
      <c r="D557">
        <f t="shared" si="151"/>
        <v>-3.9110795146650576E-3</v>
      </c>
      <c r="E557">
        <f t="shared" si="151"/>
        <v>5.7537049455330886E-4</v>
      </c>
      <c r="F557">
        <f t="shared" si="151"/>
        <v>2.1192368922037367E-3</v>
      </c>
      <c r="G557">
        <f t="shared" si="151"/>
        <v>-5.5159173701100961E-2</v>
      </c>
      <c r="H557">
        <f t="shared" si="151"/>
        <v>-3.7816372519593445E-3</v>
      </c>
      <c r="I557">
        <f t="shared" si="151"/>
        <v>-1.4056041211371138E-3</v>
      </c>
      <c r="J557">
        <f t="shared" si="151"/>
        <v>-4.5785144433134903E-2</v>
      </c>
      <c r="K557">
        <f t="shared" si="151"/>
        <v>3.2331783319641673E-3</v>
      </c>
    </row>
    <row r="558" spans="1:11">
      <c r="A558" s="1">
        <v>45512</v>
      </c>
      <c r="B558">
        <f t="shared" ref="B558:K558" si="152">B153-B$399</f>
        <v>3.448726790761842E-2</v>
      </c>
      <c r="C558">
        <f t="shared" si="152"/>
        <v>3.4309550990770329E-3</v>
      </c>
      <c r="D558">
        <f t="shared" si="152"/>
        <v>9.733871756008719E-3</v>
      </c>
      <c r="E558">
        <f t="shared" si="152"/>
        <v>2.8301605158018332E-2</v>
      </c>
      <c r="F558">
        <f t="shared" si="152"/>
        <v>2.2083120925818447E-2</v>
      </c>
      <c r="G558">
        <f t="shared" si="152"/>
        <v>5.7331524474209805E-2</v>
      </c>
      <c r="H558">
        <f t="shared" si="152"/>
        <v>3.6527199881296623E-3</v>
      </c>
      <c r="I558">
        <f t="shared" si="152"/>
        <v>5.7653706295713782E-3</v>
      </c>
      <c r="J558">
        <f t="shared" si="152"/>
        <v>3.5394415289056028E-2</v>
      </c>
      <c r="K558">
        <f t="shared" si="152"/>
        <v>8.3005127162012887E-3</v>
      </c>
    </row>
    <row r="559" spans="1:11">
      <c r="A559" s="1">
        <v>45513</v>
      </c>
      <c r="B559">
        <f t="shared" ref="B559:K559" si="153">B154-B$399</f>
        <v>-5.6865590742146092E-3</v>
      </c>
      <c r="C559">
        <f t="shared" si="153"/>
        <v>-1.2408654902318953E-3</v>
      </c>
      <c r="D559">
        <f t="shared" si="153"/>
        <v>7.3110151326818565E-3</v>
      </c>
      <c r="E559">
        <f t="shared" si="153"/>
        <v>3.1373497842886477E-3</v>
      </c>
      <c r="F559">
        <f t="shared" si="153"/>
        <v>2.4857262411585161E-3</v>
      </c>
      <c r="G559">
        <f t="shared" si="153"/>
        <v>-6.0321109639074905E-3</v>
      </c>
      <c r="H559">
        <f t="shared" si="153"/>
        <v>3.9283202932816291E-4</v>
      </c>
      <c r="I559">
        <f t="shared" si="153"/>
        <v>-9.0572563898103729E-3</v>
      </c>
      <c r="J559">
        <f t="shared" si="153"/>
        <v>4.3071080184976067E-3</v>
      </c>
      <c r="K559">
        <f t="shared" si="153"/>
        <v>-5.4171870078959109E-3</v>
      </c>
    </row>
    <row r="560" spans="1:11">
      <c r="A560" s="1">
        <v>45516</v>
      </c>
      <c r="B560">
        <f t="shared" ref="B560:K560" si="154">B155-B$399</f>
        <v>-2.2513815450125034E-2</v>
      </c>
      <c r="C560">
        <f t="shared" si="154"/>
        <v>-7.9389011974240805E-3</v>
      </c>
      <c r="D560">
        <f t="shared" si="154"/>
        <v>9.8753163079502758E-4</v>
      </c>
      <c r="E560">
        <f t="shared" si="154"/>
        <v>-3.8198715314084453E-3</v>
      </c>
      <c r="F560">
        <f t="shared" si="154"/>
        <v>4.4994963351950978E-3</v>
      </c>
      <c r="G560">
        <f t="shared" si="154"/>
        <v>3.6827491132505885E-2</v>
      </c>
      <c r="H560">
        <f t="shared" si="154"/>
        <v>-5.3502255990190957E-3</v>
      </c>
      <c r="I560">
        <f t="shared" si="154"/>
        <v>2.5491545153158868E-2</v>
      </c>
      <c r="J560">
        <f t="shared" si="154"/>
        <v>-1.4076719290748874E-2</v>
      </c>
      <c r="K560">
        <f t="shared" si="154"/>
        <v>-3.414646522944501E-3</v>
      </c>
    </row>
    <row r="561" spans="1:11">
      <c r="A561" s="1">
        <v>45517</v>
      </c>
      <c r="B561">
        <f t="shared" ref="B561:K561" si="155">B156-B$399</f>
        <v>2.8207519013731149E-2</v>
      </c>
      <c r="C561">
        <f t="shared" si="155"/>
        <v>3.7407772904141609E-3</v>
      </c>
      <c r="D561">
        <f t="shared" si="155"/>
        <v>1.6740514568574186E-2</v>
      </c>
      <c r="E561">
        <f t="shared" si="155"/>
        <v>2.094397656629338E-2</v>
      </c>
      <c r="F561">
        <f t="shared" si="155"/>
        <v>5.2178898803177623E-2</v>
      </c>
      <c r="G561">
        <f t="shared" si="155"/>
        <v>6.1372797319679984E-2</v>
      </c>
      <c r="H561">
        <f t="shared" si="155"/>
        <v>5.8183507785080106E-3</v>
      </c>
      <c r="I561">
        <f t="shared" si="155"/>
        <v>0.2446252616087915</v>
      </c>
      <c r="J561">
        <f t="shared" si="155"/>
        <v>5.0830314615065555E-2</v>
      </c>
      <c r="K561">
        <f t="shared" si="155"/>
        <v>-4.9808883374215665E-3</v>
      </c>
    </row>
    <row r="562" spans="1:11">
      <c r="A562" s="1">
        <v>45518</v>
      </c>
      <c r="B562">
        <f t="shared" ref="B562:K562" si="156">B157-B$399</f>
        <v>-1.5423801219189236E-3</v>
      </c>
      <c r="C562">
        <f t="shared" si="156"/>
        <v>1.2399125197631263E-3</v>
      </c>
      <c r="D562">
        <f t="shared" si="156"/>
        <v>5.9256700802774601E-3</v>
      </c>
      <c r="E562">
        <f t="shared" si="156"/>
        <v>1.8521612519346423E-2</v>
      </c>
      <c r="F562">
        <f t="shared" si="156"/>
        <v>7.1853851982374276E-4</v>
      </c>
      <c r="G562">
        <f t="shared" si="156"/>
        <v>1.2767764910037669E-2</v>
      </c>
      <c r="H562">
        <f t="shared" si="156"/>
        <v>8.0506861603567587E-3</v>
      </c>
      <c r="I562">
        <f t="shared" si="156"/>
        <v>-2.1199323838727701E-2</v>
      </c>
      <c r="J562">
        <f t="shared" si="156"/>
        <v>-3.2561712312144706E-2</v>
      </c>
      <c r="K562">
        <f t="shared" si="156"/>
        <v>1.8591924584856742E-2</v>
      </c>
    </row>
    <row r="563" spans="1:11">
      <c r="A563" s="1">
        <v>45519</v>
      </c>
      <c r="B563">
        <f t="shared" ref="B563:K563" si="157">B158-B$399</f>
        <v>4.6941878732690685E-2</v>
      </c>
      <c r="C563">
        <f t="shared" si="157"/>
        <v>5.0735527892836274E-4</v>
      </c>
      <c r="D563">
        <f t="shared" si="157"/>
        <v>1.0865572376838731E-2</v>
      </c>
      <c r="E563">
        <f t="shared" si="157"/>
        <v>-2.3056587387587429E-4</v>
      </c>
      <c r="F563">
        <f t="shared" si="157"/>
        <v>5.1151672475701196E-2</v>
      </c>
      <c r="G563">
        <f t="shared" si="157"/>
        <v>3.6544820440593762E-2</v>
      </c>
      <c r="H563">
        <f t="shared" si="157"/>
        <v>-6.5739320946184262E-3</v>
      </c>
      <c r="I563">
        <f t="shared" si="157"/>
        <v>1.0092239472123557E-2</v>
      </c>
      <c r="J563">
        <f t="shared" si="157"/>
        <v>6.1836021132236033E-2</v>
      </c>
      <c r="K563">
        <f t="shared" si="157"/>
        <v>-1.0606368417218214E-3</v>
      </c>
    </row>
    <row r="564" spans="1:11">
      <c r="A564" s="1">
        <v>45520</v>
      </c>
      <c r="B564">
        <f t="shared" ref="B564:K564" si="158">B159-B$399</f>
        <v>2.0291880927053092E-2</v>
      </c>
      <c r="C564">
        <f t="shared" si="158"/>
        <v>7.2070902629868764E-3</v>
      </c>
      <c r="D564">
        <f t="shared" si="158"/>
        <v>-7.038467465286787E-3</v>
      </c>
      <c r="E564">
        <f t="shared" si="158"/>
        <v>1.3801693251600801E-2</v>
      </c>
      <c r="F564">
        <f t="shared" si="158"/>
        <v>9.312562492452504E-3</v>
      </c>
      <c r="G564">
        <f t="shared" si="158"/>
        <v>1.0063317046069496E-2</v>
      </c>
      <c r="H564">
        <f t="shared" si="158"/>
        <v>8.5629807226894844E-4</v>
      </c>
      <c r="I564">
        <f t="shared" si="158"/>
        <v>4.9575235821640497E-3</v>
      </c>
      <c r="J564">
        <f t="shared" si="158"/>
        <v>7.7195207935499381E-3</v>
      </c>
      <c r="K564">
        <f t="shared" si="158"/>
        <v>1.2259204668026292E-3</v>
      </c>
    </row>
    <row r="565" spans="1:11">
      <c r="A565" s="1">
        <v>45523</v>
      </c>
      <c r="B565">
        <f t="shared" ref="B565:K565" si="159">B160-B$399</f>
        <v>-1.9463495050318579E-3</v>
      </c>
      <c r="C565">
        <f t="shared" si="159"/>
        <v>-3.4041441311016322E-3</v>
      </c>
      <c r="D565">
        <f t="shared" si="159"/>
        <v>6.3541103554034676E-3</v>
      </c>
      <c r="E565">
        <f t="shared" si="159"/>
        <v>1.8893868657431204E-2</v>
      </c>
      <c r="F565">
        <f t="shared" si="159"/>
        <v>1.0643623872187548E-3</v>
      </c>
      <c r="G565">
        <f t="shared" si="159"/>
        <v>3.9569935515175902E-2</v>
      </c>
      <c r="H565">
        <f t="shared" si="159"/>
        <v>7.2283556553874887E-3</v>
      </c>
      <c r="I565">
        <f t="shared" si="159"/>
        <v>-2.6818179930227514E-2</v>
      </c>
      <c r="J565">
        <f t="shared" si="159"/>
        <v>2.9011871847125347E-2</v>
      </c>
      <c r="K565">
        <f t="shared" si="159"/>
        <v>6.3575047226338962E-3</v>
      </c>
    </row>
    <row r="566" spans="1:11">
      <c r="A566" s="1">
        <v>45524</v>
      </c>
      <c r="B566">
        <f t="shared" ref="B566:K566" si="160">B161-B$399</f>
        <v>-4.1974560505539875E-2</v>
      </c>
      <c r="C566">
        <f t="shared" si="160"/>
        <v>5.2853475526276009E-3</v>
      </c>
      <c r="D566">
        <f t="shared" si="160"/>
        <v>6.7991969018706003E-3</v>
      </c>
      <c r="E566">
        <f t="shared" si="160"/>
        <v>1.1980202311837664E-2</v>
      </c>
      <c r="F566">
        <f t="shared" si="160"/>
        <v>3.8261657051336232E-3</v>
      </c>
      <c r="G566">
        <f t="shared" si="160"/>
        <v>-2.5090092061084424E-2</v>
      </c>
      <c r="H566">
        <f t="shared" si="160"/>
        <v>1.1955321702807333E-2</v>
      </c>
      <c r="I566">
        <f t="shared" si="160"/>
        <v>7.3479961494330361E-3</v>
      </c>
      <c r="J566">
        <f t="shared" si="160"/>
        <v>-8.8004316897091657E-3</v>
      </c>
      <c r="K566">
        <f t="shared" si="160"/>
        <v>-3.9965238299168463E-3</v>
      </c>
    </row>
    <row r="567" spans="1:11">
      <c r="A567" s="1">
        <v>45525</v>
      </c>
      <c r="B567">
        <f t="shared" ref="B567:K567" si="161">B162-B$399</f>
        <v>7.7262236025758598E-3</v>
      </c>
      <c r="C567">
        <f t="shared" si="161"/>
        <v>2.2255639014634961E-3</v>
      </c>
      <c r="D567">
        <f t="shared" si="161"/>
        <v>-2.5117307336475071E-3</v>
      </c>
      <c r="E567">
        <f t="shared" si="161"/>
        <v>-4.5907286027032073E-3</v>
      </c>
      <c r="F567">
        <f t="shared" si="161"/>
        <v>5.7294743237371725E-3</v>
      </c>
      <c r="G567">
        <f t="shared" si="161"/>
        <v>5.8870328657138465E-3</v>
      </c>
      <c r="H567">
        <f t="shared" si="161"/>
        <v>-3.3628914942451771E-3</v>
      </c>
      <c r="I567">
        <f t="shared" si="161"/>
        <v>-2.8170888488269295E-3</v>
      </c>
      <c r="J567">
        <f t="shared" si="161"/>
        <v>8.2878082368354582E-3</v>
      </c>
      <c r="K567">
        <f t="shared" si="161"/>
        <v>7.1482069435065262E-3</v>
      </c>
    </row>
    <row r="568" spans="1:11">
      <c r="A568" s="1">
        <v>45526</v>
      </c>
      <c r="B568">
        <f t="shared" ref="B568:K568" si="162">B163-B$399</f>
        <v>-3.8649829058631734E-3</v>
      </c>
      <c r="C568">
        <f t="shared" si="162"/>
        <v>-3.9629085028368202E-3</v>
      </c>
      <c r="D568">
        <f t="shared" si="162"/>
        <v>-2.1211025349804555E-2</v>
      </c>
      <c r="E568">
        <f t="shared" si="162"/>
        <v>-1.4263205083436979E-2</v>
      </c>
      <c r="F568">
        <f t="shared" si="162"/>
        <v>-6.5597008575396399E-3</v>
      </c>
      <c r="G568">
        <f t="shared" si="162"/>
        <v>-4.0979072520200777E-2</v>
      </c>
      <c r="H568">
        <f t="shared" si="162"/>
        <v>3.3015042603498101E-3</v>
      </c>
      <c r="I568">
        <f t="shared" si="162"/>
        <v>-4.1166949934690143E-3</v>
      </c>
      <c r="J568">
        <f t="shared" si="162"/>
        <v>-5.8005451325243526E-2</v>
      </c>
      <c r="K568">
        <f t="shared" si="162"/>
        <v>4.4433318979031763E-3</v>
      </c>
    </row>
    <row r="569" spans="1:11">
      <c r="A569" s="1">
        <v>45527</v>
      </c>
      <c r="B569">
        <f t="shared" ref="B569:K569" si="163">B164-B$399</f>
        <v>1.2732737150913337E-2</v>
      </c>
      <c r="C569">
        <f t="shared" si="163"/>
        <v>6.1216293769273348E-3</v>
      </c>
      <c r="D569">
        <f t="shared" si="163"/>
        <v>2.0258049242025821E-3</v>
      </c>
      <c r="E569">
        <f t="shared" si="163"/>
        <v>-5.7947645066429004E-3</v>
      </c>
      <c r="F569">
        <f t="shared" si="163"/>
        <v>8.1368164851766244E-3</v>
      </c>
      <c r="G569">
        <f t="shared" si="163"/>
        <v>4.1562226573797101E-2</v>
      </c>
      <c r="H569">
        <f t="shared" si="163"/>
        <v>1.0162050242373843E-3</v>
      </c>
      <c r="I569">
        <f t="shared" si="163"/>
        <v>1.6858027673924848E-2</v>
      </c>
      <c r="J569">
        <f t="shared" si="163"/>
        <v>4.4329151345489828E-2</v>
      </c>
      <c r="K569">
        <f t="shared" si="163"/>
        <v>-1.3609309698253982E-2</v>
      </c>
    </row>
    <row r="570" spans="1:11">
      <c r="A570" s="1">
        <v>45530</v>
      </c>
      <c r="B570">
        <f t="shared" ref="B570:K570" si="164">B165-B$399</f>
        <v>-8.4609020080076928E-3</v>
      </c>
      <c r="C570">
        <f t="shared" si="164"/>
        <v>1.4531927291614061E-2</v>
      </c>
      <c r="D570">
        <f t="shared" si="164"/>
        <v>-8.8759288515046636E-3</v>
      </c>
      <c r="E570">
        <f t="shared" si="164"/>
        <v>-6.7848048584449091E-5</v>
      </c>
      <c r="F570">
        <f t="shared" si="164"/>
        <v>3.2002966986536389E-3</v>
      </c>
      <c r="G570">
        <f t="shared" si="164"/>
        <v>-2.6429816907462433E-2</v>
      </c>
      <c r="H570">
        <f t="shared" si="164"/>
        <v>8.4525565076243542E-4</v>
      </c>
      <c r="I570">
        <f t="shared" si="164"/>
        <v>1.6779739546207807E-2</v>
      </c>
      <c r="J570">
        <f t="shared" si="164"/>
        <v>-3.3797990284116938E-2</v>
      </c>
      <c r="K570">
        <f t="shared" si="164"/>
        <v>1.3295116638463875E-2</v>
      </c>
    </row>
    <row r="571" spans="1:11">
      <c r="A571" s="1">
        <v>45531</v>
      </c>
      <c r="B571">
        <f t="shared" ref="B571:K571" si="165">B166-B$399</f>
        <v>-2.4803929136131774E-3</v>
      </c>
      <c r="C571">
        <f t="shared" si="165"/>
        <v>8.8036298142835593E-3</v>
      </c>
      <c r="D571">
        <f t="shared" si="165"/>
        <v>-1.1175427051178467E-4</v>
      </c>
      <c r="E571">
        <f t="shared" si="165"/>
        <v>8.0166446515018159E-3</v>
      </c>
      <c r="F571">
        <f t="shared" si="165"/>
        <v>1.2447770065055054E-2</v>
      </c>
      <c r="G571">
        <f t="shared" si="165"/>
        <v>1.061390270864576E-2</v>
      </c>
      <c r="H571">
        <f t="shared" si="165"/>
        <v>-3.5308955438504409E-3</v>
      </c>
      <c r="I571">
        <f t="shared" si="165"/>
        <v>3.0713008181138524E-2</v>
      </c>
      <c r="J571">
        <f t="shared" si="165"/>
        <v>-2.0287592279959844E-2</v>
      </c>
      <c r="K571">
        <f t="shared" si="165"/>
        <v>8.5467439152951269E-3</v>
      </c>
    </row>
    <row r="572" spans="1:11">
      <c r="A572" s="1">
        <v>45532</v>
      </c>
      <c r="B572">
        <f t="shared" ref="B572:K572" si="166">B167-B$399</f>
        <v>-1.3523845216635017E-2</v>
      </c>
      <c r="C572">
        <f t="shared" si="166"/>
        <v>2.9832045220910494E-3</v>
      </c>
      <c r="D572">
        <f t="shared" si="166"/>
        <v>-8.7872110102474726E-3</v>
      </c>
      <c r="E572">
        <f t="shared" si="166"/>
        <v>-1.9633696825744392E-2</v>
      </c>
      <c r="F572">
        <f t="shared" si="166"/>
        <v>-2.8847780059631054E-2</v>
      </c>
      <c r="G572">
        <f t="shared" si="166"/>
        <v>-2.4902777801190379E-2</v>
      </c>
      <c r="H572">
        <f t="shared" si="166"/>
        <v>-7.5956357430549933E-3</v>
      </c>
      <c r="I572">
        <f t="shared" si="166"/>
        <v>-3.3812796195817792E-2</v>
      </c>
      <c r="J572">
        <f t="shared" si="166"/>
        <v>-1.8065184703273719E-2</v>
      </c>
      <c r="K572">
        <f t="shared" si="166"/>
        <v>4.2612453218060916E-3</v>
      </c>
    </row>
    <row r="573" spans="1:11">
      <c r="A573" s="1">
        <v>45533</v>
      </c>
      <c r="B573">
        <f t="shared" ref="B573:K573" si="167">B168-B$399</f>
        <v>9.0778908074062355E-3</v>
      </c>
      <c r="C573">
        <f t="shared" si="167"/>
        <v>3.6680631151280682E-3</v>
      </c>
      <c r="D573">
        <f t="shared" si="167"/>
        <v>5.1790229998432006E-3</v>
      </c>
      <c r="E573">
        <f t="shared" si="167"/>
        <v>1.0076524353400286E-2</v>
      </c>
      <c r="F573">
        <f t="shared" si="167"/>
        <v>6.1408451672947516E-3</v>
      </c>
      <c r="G573">
        <f t="shared" si="167"/>
        <v>-6.7784704975655752E-2</v>
      </c>
      <c r="H573">
        <f t="shared" si="167"/>
        <v>-1.0245617696588492E-2</v>
      </c>
      <c r="I573">
        <f t="shared" si="167"/>
        <v>-4.9613139209570088E-3</v>
      </c>
      <c r="J573">
        <f t="shared" si="167"/>
        <v>1.0491889872755282E-3</v>
      </c>
      <c r="K573">
        <f t="shared" si="167"/>
        <v>7.5531121922516728E-3</v>
      </c>
    </row>
    <row r="574" spans="1:11">
      <c r="A574" s="1">
        <v>45534</v>
      </c>
      <c r="B574">
        <f t="shared" ref="B574:K574" si="168">B169-B$399</f>
        <v>8.5899646367197432E-3</v>
      </c>
      <c r="C574">
        <f t="shared" si="168"/>
        <v>5.3161928990553223E-3</v>
      </c>
      <c r="D574">
        <f t="shared" si="168"/>
        <v>8.7727212255153258E-3</v>
      </c>
      <c r="E574">
        <f t="shared" si="168"/>
        <v>1.0251085794283967E-2</v>
      </c>
      <c r="F574">
        <f t="shared" si="168"/>
        <v>1.1845131950064659E-3</v>
      </c>
      <c r="G574">
        <f t="shared" si="168"/>
        <v>1.120112069237583E-2</v>
      </c>
      <c r="H574">
        <f t="shared" si="168"/>
        <v>4.8673249337821715E-3</v>
      </c>
      <c r="I574">
        <f t="shared" si="168"/>
        <v>-3.4013375941791633E-3</v>
      </c>
      <c r="J574">
        <f t="shared" si="168"/>
        <v>3.6431377527853373E-2</v>
      </c>
      <c r="K574">
        <f t="shared" si="168"/>
        <v>1.5302982671520861E-4</v>
      </c>
    </row>
    <row r="575" spans="1:11">
      <c r="A575" s="1">
        <v>45538</v>
      </c>
      <c r="B575">
        <f t="shared" ref="B575:K575" si="169">B170-B$399</f>
        <v>-7.3214614672741318E-2</v>
      </c>
      <c r="C575">
        <f t="shared" si="169"/>
        <v>6.9381868150740159E-3</v>
      </c>
      <c r="D575">
        <f t="shared" si="169"/>
        <v>-1.9417222842303614E-2</v>
      </c>
      <c r="E575">
        <f t="shared" si="169"/>
        <v>-3.9672034772004705E-2</v>
      </c>
      <c r="F575">
        <f t="shared" si="169"/>
        <v>-1.9186510489023853E-2</v>
      </c>
      <c r="G575">
        <f t="shared" si="169"/>
        <v>-9.9186378681248966E-2</v>
      </c>
      <c r="H575">
        <f t="shared" si="169"/>
        <v>2.7231717721610708E-2</v>
      </c>
      <c r="I575">
        <f t="shared" si="169"/>
        <v>-1.5042466579587641E-2</v>
      </c>
      <c r="J575">
        <f t="shared" si="169"/>
        <v>-1.7920163676984836E-2</v>
      </c>
      <c r="K575">
        <f t="shared" si="169"/>
        <v>-3.2658288671068346E-4</v>
      </c>
    </row>
    <row r="576" spans="1:11">
      <c r="A576" s="1">
        <v>45539</v>
      </c>
      <c r="B576">
        <f t="shared" ref="B576:K576" si="170">B171-B$399</f>
        <v>1.3661116524634925E-2</v>
      </c>
      <c r="C576">
        <f t="shared" si="170"/>
        <v>-6.6768995594138122E-3</v>
      </c>
      <c r="D576">
        <f t="shared" si="170"/>
        <v>-2.277097956352322E-3</v>
      </c>
      <c r="E576">
        <f t="shared" si="170"/>
        <v>3.8982350700589885E-3</v>
      </c>
      <c r="F576">
        <f t="shared" si="170"/>
        <v>-3.2252337289119123E-3</v>
      </c>
      <c r="G576">
        <f t="shared" si="170"/>
        <v>-2.0510344523262114E-2</v>
      </c>
      <c r="H576">
        <f t="shared" si="170"/>
        <v>5.7964764227581593E-3</v>
      </c>
      <c r="I576">
        <f t="shared" si="170"/>
        <v>-9.4662375792375995E-3</v>
      </c>
      <c r="J576">
        <f t="shared" si="170"/>
        <v>4.0306098937954518E-2</v>
      </c>
      <c r="K576">
        <f t="shared" si="170"/>
        <v>6.6883209044071154E-3</v>
      </c>
    </row>
    <row r="577" spans="1:11">
      <c r="A577" s="1">
        <v>45540</v>
      </c>
      <c r="B577">
        <f t="shared" ref="B577:K577" si="171">B172-B$399</f>
        <v>-6.5573771736455125E-3</v>
      </c>
      <c r="C577">
        <f t="shared" si="171"/>
        <v>-1.9669722285400374E-2</v>
      </c>
      <c r="D577">
        <f t="shared" si="171"/>
        <v>-2.2054960949275805E-3</v>
      </c>
      <c r="E577">
        <f t="shared" si="171"/>
        <v>3.2389075171198067E-3</v>
      </c>
      <c r="F577">
        <f t="shared" si="171"/>
        <v>-1.8812275981992964E-3</v>
      </c>
      <c r="G577">
        <f t="shared" si="171"/>
        <v>5.4790833396502463E-3</v>
      </c>
      <c r="H577">
        <f t="shared" si="171"/>
        <v>4.6458975477704527E-3</v>
      </c>
      <c r="I577">
        <f t="shared" si="171"/>
        <v>-8.6839747447229419E-3</v>
      </c>
      <c r="J577">
        <f t="shared" si="171"/>
        <v>4.7513836294541159E-2</v>
      </c>
      <c r="K577">
        <f t="shared" si="171"/>
        <v>-3.115169348013772E-3</v>
      </c>
    </row>
    <row r="578" spans="1:11">
      <c r="A578" s="1">
        <v>45541</v>
      </c>
      <c r="B578">
        <f t="shared" ref="B578:K578" si="172">B173-B$399</f>
        <v>-2.7938851984433515E-2</v>
      </c>
      <c r="C578">
        <f t="shared" si="172"/>
        <v>-9.3467514333528878E-4</v>
      </c>
      <c r="D578">
        <f t="shared" si="172"/>
        <v>-1.733959798738903E-2</v>
      </c>
      <c r="E578">
        <f t="shared" si="172"/>
        <v>-2.8668903523015151E-2</v>
      </c>
      <c r="F578">
        <f t="shared" si="172"/>
        <v>-2.0103672307569694E-3</v>
      </c>
      <c r="G578">
        <f t="shared" si="172"/>
        <v>-4.4790578357362609E-2</v>
      </c>
      <c r="H578">
        <f t="shared" si="172"/>
        <v>-3.1234264354768038E-3</v>
      </c>
      <c r="I578">
        <f t="shared" si="172"/>
        <v>-4.8221470682838861E-3</v>
      </c>
      <c r="J578">
        <f t="shared" si="172"/>
        <v>-8.5986070717361571E-2</v>
      </c>
      <c r="K578">
        <f t="shared" si="172"/>
        <v>-9.4888265955592327E-3</v>
      </c>
    </row>
    <row r="579" spans="1:11">
      <c r="A579" s="1">
        <v>45544</v>
      </c>
      <c r="B579">
        <f t="shared" ref="B579:K579" si="173">B174-B$399</f>
        <v>3.356002281775234E-2</v>
      </c>
      <c r="C579">
        <f t="shared" si="173"/>
        <v>9.4670261783607549E-3</v>
      </c>
      <c r="D579">
        <f t="shared" si="173"/>
        <v>9.049362907800354E-3</v>
      </c>
      <c r="E579">
        <f t="shared" si="173"/>
        <v>1.1936497953338567E-2</v>
      </c>
      <c r="F579">
        <f t="shared" si="173"/>
        <v>-1.3674741416507695E-2</v>
      </c>
      <c r="G579">
        <f t="shared" si="173"/>
        <v>3.1461943192434061E-2</v>
      </c>
      <c r="H579">
        <f t="shared" si="173"/>
        <v>5.0696432037321574E-3</v>
      </c>
      <c r="I579">
        <f t="shared" si="173"/>
        <v>1.1284949980155381E-2</v>
      </c>
      <c r="J579">
        <f t="shared" si="173"/>
        <v>2.4762859171596551E-2</v>
      </c>
      <c r="K579">
        <f t="shared" si="173"/>
        <v>1.053019080012145E-2</v>
      </c>
    </row>
    <row r="580" spans="1:11">
      <c r="A580" s="1">
        <v>45545</v>
      </c>
      <c r="B580">
        <f t="shared" ref="B580:K580" si="174">B175-B$399</f>
        <v>-1.7434678739980107E-2</v>
      </c>
      <c r="C580">
        <f t="shared" si="174"/>
        <v>-4.6884186586069795E-3</v>
      </c>
      <c r="D580">
        <f t="shared" si="174"/>
        <v>1.9942951219655849E-2</v>
      </c>
      <c r="E580">
        <f t="shared" si="174"/>
        <v>-5.2229321451078819E-3</v>
      </c>
      <c r="F580">
        <f t="shared" si="174"/>
        <v>-1.7148438220392012E-2</v>
      </c>
      <c r="G580">
        <f t="shared" si="174"/>
        <v>1.1373158082299937E-2</v>
      </c>
      <c r="H580">
        <f t="shared" si="174"/>
        <v>-1.8560254498891627E-3</v>
      </c>
      <c r="I580">
        <f t="shared" si="174"/>
        <v>1.1910317595631761E-2</v>
      </c>
      <c r="J580">
        <f t="shared" si="174"/>
        <v>4.4249337309221717E-2</v>
      </c>
      <c r="K580">
        <f t="shared" si="174"/>
        <v>-9.9435587200458891E-3</v>
      </c>
    </row>
    <row r="581" spans="1:11">
      <c r="A581" s="1">
        <v>45546</v>
      </c>
      <c r="B581">
        <f t="shared" ref="B581:K581" si="175">B176-B$399</f>
        <v>7.8697583377961896E-3</v>
      </c>
      <c r="C581">
        <f t="shared" si="175"/>
        <v>-7.0822018369426972E-3</v>
      </c>
      <c r="D581">
        <f t="shared" si="175"/>
        <v>2.0384046818681126E-2</v>
      </c>
      <c r="E581">
        <f t="shared" si="175"/>
        <v>9.0954765995444071E-3</v>
      </c>
      <c r="F581">
        <f t="shared" si="175"/>
        <v>4.4337932233801235E-3</v>
      </c>
      <c r="G581">
        <f t="shared" si="175"/>
        <v>7.7562386105428371E-2</v>
      </c>
      <c r="H581">
        <f t="shared" si="175"/>
        <v>-1.1140043818550048E-2</v>
      </c>
      <c r="I581">
        <f t="shared" si="175"/>
        <v>5.1723406346292682E-2</v>
      </c>
      <c r="J581">
        <f t="shared" si="175"/>
        <v>7.1393306618997114E-3</v>
      </c>
      <c r="K581">
        <f t="shared" si="175"/>
        <v>-1.2910291923303355E-2</v>
      </c>
    </row>
    <row r="582" spans="1:11">
      <c r="A582" s="1">
        <v>45547</v>
      </c>
      <c r="B582">
        <f t="shared" ref="B582:K582" si="176">B177-B$399</f>
        <v>8.9240561049070462E-3</v>
      </c>
      <c r="C582">
        <f t="shared" si="176"/>
        <v>1.5973051387113088E-3</v>
      </c>
      <c r="D582">
        <f t="shared" si="176"/>
        <v>8.4026073544501007E-3</v>
      </c>
      <c r="E582">
        <f t="shared" si="176"/>
        <v>5.2634111269647694E-3</v>
      </c>
      <c r="F582">
        <f t="shared" si="176"/>
        <v>4.6390192496072034E-4</v>
      </c>
      <c r="G582">
        <f t="shared" si="176"/>
        <v>1.5225443979964335E-2</v>
      </c>
      <c r="H582">
        <f t="shared" si="176"/>
        <v>8.6392516579761897E-3</v>
      </c>
      <c r="I582">
        <f t="shared" si="176"/>
        <v>1.0653797861196792E-2</v>
      </c>
      <c r="J582">
        <f t="shared" si="176"/>
        <v>5.8374431343840121E-3</v>
      </c>
      <c r="K582">
        <f t="shared" si="176"/>
        <v>4.711840942438524E-3</v>
      </c>
    </row>
    <row r="583" spans="1:11">
      <c r="A583" s="1">
        <v>45548</v>
      </c>
      <c r="B583">
        <f t="shared" ref="B583:K583" si="177">B178-B$399</f>
        <v>-3.6863591786844334E-2</v>
      </c>
      <c r="C583">
        <f t="shared" si="177"/>
        <v>8.8866705942370287E-3</v>
      </c>
      <c r="D583">
        <f t="shared" si="177"/>
        <v>7.4492557863188461E-3</v>
      </c>
      <c r="E583">
        <f t="shared" si="177"/>
        <v>1.2380919598673769E-2</v>
      </c>
      <c r="F583">
        <f t="shared" si="177"/>
        <v>8.244533343115491E-3</v>
      </c>
      <c r="G583">
        <f t="shared" si="177"/>
        <v>-4.2720151465017193E-3</v>
      </c>
      <c r="H583">
        <f t="shared" si="177"/>
        <v>8.9721950586840965E-4</v>
      </c>
      <c r="I583">
        <f t="shared" si="177"/>
        <v>-7.4957656761630662E-3</v>
      </c>
      <c r="J583">
        <f t="shared" si="177"/>
        <v>5.6191662900302239E-4</v>
      </c>
      <c r="K583">
        <f t="shared" si="177"/>
        <v>2.9563272922044494E-3</v>
      </c>
    </row>
    <row r="584" spans="1:11">
      <c r="A584" s="1">
        <v>45551</v>
      </c>
      <c r="B584">
        <f t="shared" ref="B584:K584" si="178">B179-B$399</f>
        <v>-7.7838719207500798E-3</v>
      </c>
      <c r="C584">
        <f t="shared" si="178"/>
        <v>9.1492794370864831E-3</v>
      </c>
      <c r="D584">
        <f t="shared" si="178"/>
        <v>7.8359458504230538E-4</v>
      </c>
      <c r="E584">
        <f t="shared" si="178"/>
        <v>-3.3613123836278547E-3</v>
      </c>
      <c r="F584">
        <f t="shared" si="178"/>
        <v>1.0462678418635586E-2</v>
      </c>
      <c r="G584">
        <f t="shared" si="178"/>
        <v>-2.3415683280205213E-2</v>
      </c>
      <c r="H584">
        <f t="shared" si="178"/>
        <v>-5.691405867471721E-4</v>
      </c>
      <c r="I584">
        <f t="shared" si="178"/>
        <v>-2.3272154738819505E-2</v>
      </c>
      <c r="J584">
        <f t="shared" si="178"/>
        <v>-1.6768375177977846E-2</v>
      </c>
      <c r="K584">
        <f t="shared" si="178"/>
        <v>1.0545367351005239E-2</v>
      </c>
    </row>
    <row r="585" spans="1:11">
      <c r="A585" s="1">
        <v>45552</v>
      </c>
      <c r="B585">
        <f t="shared" ref="B585:K585" si="179">B180-B$399</f>
        <v>5.3984060361786431E-3</v>
      </c>
      <c r="C585">
        <f t="shared" si="179"/>
        <v>-4.6740597305955974E-3</v>
      </c>
      <c r="D585">
        <f t="shared" si="179"/>
        <v>7.8747723363339489E-3</v>
      </c>
      <c r="E585">
        <f t="shared" si="179"/>
        <v>1.2388179098797249E-2</v>
      </c>
      <c r="F585">
        <f t="shared" si="179"/>
        <v>1.0990097977099945E-2</v>
      </c>
      <c r="G585">
        <f t="shared" si="179"/>
        <v>-1.412637155448432E-2</v>
      </c>
      <c r="H585">
        <f t="shared" si="179"/>
        <v>-1.64205957689467E-3</v>
      </c>
      <c r="I585">
        <f t="shared" si="179"/>
        <v>1.0056001661892158E-3</v>
      </c>
      <c r="J585">
        <f t="shared" si="179"/>
        <v>3.2796574402658811E-3</v>
      </c>
      <c r="K585">
        <f t="shared" si="179"/>
        <v>-4.2071800526614781E-3</v>
      </c>
    </row>
    <row r="586" spans="1:11">
      <c r="A586" s="1">
        <v>45553</v>
      </c>
      <c r="B586">
        <f t="shared" ref="B586:K586" si="180">B181-B$399</f>
        <v>-8.1864219441541378E-3</v>
      </c>
      <c r="C586">
        <f t="shared" si="180"/>
        <v>-1.2095714988882892E-3</v>
      </c>
      <c r="D586">
        <f t="shared" si="180"/>
        <v>-1.0931814834726147E-2</v>
      </c>
      <c r="E586">
        <f t="shared" si="180"/>
        <v>-2.5814088980773472E-2</v>
      </c>
      <c r="F586">
        <f t="shared" si="180"/>
        <v>3.6880880156847777E-3</v>
      </c>
      <c r="G586">
        <f t="shared" si="180"/>
        <v>-2.3142080136259902E-2</v>
      </c>
      <c r="H586">
        <f t="shared" si="180"/>
        <v>-9.1087165334563496E-3</v>
      </c>
      <c r="I586">
        <f t="shared" si="180"/>
        <v>-3.662429923358199E-3</v>
      </c>
      <c r="J586">
        <f t="shared" si="180"/>
        <v>-4.4670117467025434E-3</v>
      </c>
      <c r="K586">
        <f t="shared" si="180"/>
        <v>-2.2053877582784574E-3</v>
      </c>
    </row>
    <row r="587" spans="1:11">
      <c r="A587" s="1">
        <v>45554</v>
      </c>
      <c r="B587">
        <f t="shared" ref="B587:K587" si="181">B182-B$399</f>
        <v>-3.3542502552993902E-3</v>
      </c>
      <c r="C587">
        <f t="shared" si="181"/>
        <v>-1.6262275073952229E-2</v>
      </c>
      <c r="D587">
        <f t="shared" si="181"/>
        <v>1.7332918106671272E-2</v>
      </c>
      <c r="E587">
        <f t="shared" si="181"/>
        <v>1.7500912704473241E-2</v>
      </c>
      <c r="F587">
        <f t="shared" si="181"/>
        <v>1.4529258026027127E-3</v>
      </c>
      <c r="G587">
        <f t="shared" si="181"/>
        <v>3.5756843324617538E-2</v>
      </c>
      <c r="H587">
        <f t="shared" si="181"/>
        <v>-2.862615656436971E-3</v>
      </c>
      <c r="I587">
        <f t="shared" si="181"/>
        <v>7.7707085639074826E-3</v>
      </c>
      <c r="J587">
        <f t="shared" si="181"/>
        <v>7.2064808900502555E-2</v>
      </c>
      <c r="K587">
        <f t="shared" si="181"/>
        <v>-1.3318763021812854E-2</v>
      </c>
    </row>
    <row r="588" spans="1:11">
      <c r="A588" s="1">
        <v>45555</v>
      </c>
      <c r="B588">
        <f t="shared" ref="B588:K588" si="182">B183-B$399</f>
        <v>-8.4111239561786514E-3</v>
      </c>
      <c r="C588">
        <f t="shared" si="182"/>
        <v>1.3930282765640728E-2</v>
      </c>
      <c r="D588">
        <f t="shared" si="182"/>
        <v>-8.7541181198868973E-3</v>
      </c>
      <c r="E588">
        <f t="shared" si="182"/>
        <v>-7.2290826606299912E-3</v>
      </c>
      <c r="F588">
        <f t="shared" si="182"/>
        <v>6.8875667431104973E-2</v>
      </c>
      <c r="G588">
        <f t="shared" si="182"/>
        <v>-1.9801177823175642E-2</v>
      </c>
      <c r="H588">
        <f t="shared" si="182"/>
        <v>-1.9647839834483812E-2</v>
      </c>
      <c r="I588">
        <f t="shared" si="182"/>
        <v>-9.1162830936170145E-3</v>
      </c>
      <c r="J588">
        <f t="shared" si="182"/>
        <v>-2.4772065760785212E-2</v>
      </c>
      <c r="K588">
        <f t="shared" si="182"/>
        <v>-2.2961362232268444E-3</v>
      </c>
    </row>
    <row r="589" spans="1:11">
      <c r="A589" s="1">
        <v>45558</v>
      </c>
      <c r="B589">
        <f t="shared" ref="B589:K589" si="183">B184-B$399</f>
        <v>1.9634285470414299E-2</v>
      </c>
      <c r="C589">
        <f t="shared" si="183"/>
        <v>7.4309880141659257E-4</v>
      </c>
      <c r="D589">
        <f t="shared" si="183"/>
        <v>-5.0015981123436712E-3</v>
      </c>
      <c r="E589">
        <f t="shared" si="183"/>
        <v>3.6328998199320361E-3</v>
      </c>
      <c r="F589">
        <f t="shared" si="183"/>
        <v>-3.2345935330051353E-3</v>
      </c>
      <c r="G589">
        <f t="shared" si="183"/>
        <v>-1.6948670434951425E-3</v>
      </c>
      <c r="H589">
        <f t="shared" si="183"/>
        <v>5.7095483871242329E-3</v>
      </c>
      <c r="I589">
        <f t="shared" si="183"/>
        <v>-6.2786064990334543E-3</v>
      </c>
      <c r="J589">
        <f t="shared" si="183"/>
        <v>4.7791196580262277E-2</v>
      </c>
      <c r="K589">
        <f t="shared" si="183"/>
        <v>7.9666647238059579E-3</v>
      </c>
    </row>
    <row r="590" spans="1:11">
      <c r="A590" s="1">
        <v>45559</v>
      </c>
      <c r="B590">
        <f t="shared" ref="B590:K590" si="184">B185-B$399</f>
        <v>-3.1367950637508023E-3</v>
      </c>
      <c r="C590">
        <f t="shared" si="184"/>
        <v>-6.0897392749404474E-3</v>
      </c>
      <c r="D590">
        <f t="shared" si="184"/>
        <v>-1.0969545194951177E-2</v>
      </c>
      <c r="E590">
        <f t="shared" si="184"/>
        <v>2.1386959213114679E-2</v>
      </c>
      <c r="F590">
        <f t="shared" si="184"/>
        <v>1.5081041415430886E-2</v>
      </c>
      <c r="G590">
        <f t="shared" si="184"/>
        <v>3.5716262050619896E-2</v>
      </c>
      <c r="H590">
        <f t="shared" si="184"/>
        <v>-1.2447848738535659E-2</v>
      </c>
      <c r="I590">
        <f t="shared" si="184"/>
        <v>-1.1131847267676251E-2</v>
      </c>
      <c r="J590">
        <f t="shared" si="184"/>
        <v>1.5553270333271096E-2</v>
      </c>
      <c r="K590">
        <f t="shared" si="184"/>
        <v>-6.3420291643872676E-3</v>
      </c>
    </row>
    <row r="591" spans="1:11">
      <c r="A591" s="1">
        <v>45560</v>
      </c>
      <c r="B591">
        <f t="shared" ref="B591:K591" si="185">B186-B$399</f>
        <v>-2.3042623163160685E-2</v>
      </c>
      <c r="C591">
        <f t="shared" si="185"/>
        <v>1.1691803708540568E-3</v>
      </c>
      <c r="D591">
        <f t="shared" si="185"/>
        <v>5.8921395723430395E-3</v>
      </c>
      <c r="E591">
        <f t="shared" si="185"/>
        <v>-3.5271386734418409E-3</v>
      </c>
      <c r="F591">
        <f t="shared" si="185"/>
        <v>6.6381278979758106E-3</v>
      </c>
      <c r="G591">
        <f t="shared" si="185"/>
        <v>1.7905367482632328E-2</v>
      </c>
      <c r="H591">
        <f t="shared" si="185"/>
        <v>-2.7837393725163007E-3</v>
      </c>
      <c r="I591">
        <f t="shared" si="185"/>
        <v>1.2043330514750364E-2</v>
      </c>
      <c r="J591">
        <f t="shared" si="185"/>
        <v>9.2884681527930051E-3</v>
      </c>
      <c r="K591">
        <f t="shared" si="185"/>
        <v>3.3768107899155154E-3</v>
      </c>
    </row>
    <row r="592" spans="1:11">
      <c r="A592" s="1">
        <v>45561</v>
      </c>
      <c r="B592">
        <f t="shared" ref="B592:K592" si="186">B187-B$399</f>
        <v>1.5502116675389426E-2</v>
      </c>
      <c r="C592">
        <f t="shared" si="186"/>
        <v>-1.2130918448607967E-3</v>
      </c>
      <c r="D592">
        <f t="shared" si="186"/>
        <v>-2.8095250884754143E-3</v>
      </c>
      <c r="E592">
        <f t="shared" si="186"/>
        <v>-1.6596975079829209E-2</v>
      </c>
      <c r="F592">
        <f t="shared" si="186"/>
        <v>1.6259406903804133E-2</v>
      </c>
      <c r="G592">
        <f t="shared" si="186"/>
        <v>3.5488568093472277E-4</v>
      </c>
      <c r="H592">
        <f t="shared" si="186"/>
        <v>1.9885039904213885E-3</v>
      </c>
      <c r="I592">
        <f t="shared" si="186"/>
        <v>1.9003076967877165E-2</v>
      </c>
      <c r="J592">
        <f t="shared" si="186"/>
        <v>-1.242079357258934E-2</v>
      </c>
      <c r="K592">
        <f t="shared" si="186"/>
        <v>1.9482523048573309E-3</v>
      </c>
    </row>
    <row r="593" spans="1:11">
      <c r="A593" s="1">
        <v>45562</v>
      </c>
      <c r="B593">
        <f t="shared" ref="B593:K593" si="187">B188-B$399</f>
        <v>1.1254579637425216E-2</v>
      </c>
      <c r="C593">
        <f t="shared" si="187"/>
        <v>4.9491961333052951E-3</v>
      </c>
      <c r="D593">
        <f t="shared" si="187"/>
        <v>-8.5861072266686239E-3</v>
      </c>
      <c r="E593">
        <f t="shared" si="187"/>
        <v>-8.2928940357067087E-3</v>
      </c>
      <c r="F593">
        <f t="shared" si="187"/>
        <v>1.0232784644394045E-3</v>
      </c>
      <c r="G593">
        <f t="shared" si="187"/>
        <v>-2.5219687220512099E-2</v>
      </c>
      <c r="H593">
        <f t="shared" si="187"/>
        <v>2.1035067833566922E-3</v>
      </c>
      <c r="I593">
        <f t="shared" si="187"/>
        <v>-1.4727798937529488E-3</v>
      </c>
      <c r="J593">
        <f t="shared" si="187"/>
        <v>2.3018883816997637E-2</v>
      </c>
      <c r="K593">
        <f t="shared" si="187"/>
        <v>5.684787749941563E-3</v>
      </c>
    </row>
    <row r="594" spans="1:11">
      <c r="A594" s="1">
        <v>45565</v>
      </c>
      <c r="B594">
        <f t="shared" ref="B594:K594" si="188">B189-B$399</f>
        <v>-2.7381585578821914E-2</v>
      </c>
      <c r="C594">
        <f t="shared" si="188"/>
        <v>4.6171129117361176E-4</v>
      </c>
      <c r="D594">
        <f t="shared" si="188"/>
        <v>4.3686337266391076E-3</v>
      </c>
      <c r="E594">
        <f t="shared" si="188"/>
        <v>1.5647690929815545E-4</v>
      </c>
      <c r="F594">
        <f t="shared" si="188"/>
        <v>-1.1164018164218513E-2</v>
      </c>
      <c r="G594">
        <f t="shared" si="188"/>
        <v>-3.6068077145695061E-3</v>
      </c>
      <c r="H594">
        <f t="shared" si="188"/>
        <v>5.7073206840730034E-4</v>
      </c>
      <c r="I594">
        <f t="shared" si="188"/>
        <v>9.9096247417051163E-4</v>
      </c>
      <c r="J594">
        <f t="shared" si="188"/>
        <v>2.9653574671840259E-3</v>
      </c>
      <c r="K594">
        <f t="shared" si="188"/>
        <v>7.4776325553898423E-3</v>
      </c>
    </row>
    <row r="595" spans="1:11">
      <c r="A595" s="1">
        <v>45566</v>
      </c>
      <c r="B595">
        <f t="shared" ref="B595:K595" si="189">B190-B$399</f>
        <v>1.4336621659508613E-2</v>
      </c>
      <c r="C595">
        <f t="shared" si="189"/>
        <v>-2.6005765657375938E-3</v>
      </c>
      <c r="D595">
        <f t="shared" si="189"/>
        <v>-2.3291403885198E-2</v>
      </c>
      <c r="E595">
        <f t="shared" si="189"/>
        <v>-6.9850492476046227E-3</v>
      </c>
      <c r="F595">
        <f t="shared" si="189"/>
        <v>8.7217345394464806E-3</v>
      </c>
      <c r="G595">
        <f t="shared" si="189"/>
        <v>-4.0497478180868962E-2</v>
      </c>
      <c r="H595">
        <f t="shared" si="189"/>
        <v>8.0978415992946102E-3</v>
      </c>
      <c r="I595">
        <f t="shared" si="189"/>
        <v>-9.5966462738151549E-4</v>
      </c>
      <c r="J595">
        <f t="shared" si="189"/>
        <v>-1.532491899127857E-2</v>
      </c>
      <c r="K595">
        <f t="shared" si="189"/>
        <v>1.9837797153044387E-2</v>
      </c>
    </row>
    <row r="596" spans="1:11">
      <c r="A596" s="1">
        <v>45567</v>
      </c>
      <c r="B596">
        <f t="shared" ref="B596:K596" si="190">B191-B$399</f>
        <v>-8.6258185577942573E-3</v>
      </c>
      <c r="C596">
        <f t="shared" si="190"/>
        <v>-1.0274678185079272E-2</v>
      </c>
      <c r="D596">
        <f t="shared" si="190"/>
        <v>-9.4204796562357002E-3</v>
      </c>
      <c r="E596">
        <f t="shared" si="190"/>
        <v>4.4662916990572694E-3</v>
      </c>
      <c r="F596">
        <f t="shared" si="190"/>
        <v>-6.7190046550885549E-2</v>
      </c>
      <c r="G596">
        <f t="shared" si="190"/>
        <v>1.187562187636043E-2</v>
      </c>
      <c r="H596">
        <f t="shared" si="190"/>
        <v>-1.0401551367260618E-2</v>
      </c>
      <c r="I596">
        <f t="shared" si="190"/>
        <v>-9.8896207705123727E-3</v>
      </c>
      <c r="J596">
        <f t="shared" si="190"/>
        <v>-3.6407706079197785E-2</v>
      </c>
      <c r="K596">
        <f t="shared" si="190"/>
        <v>-1.790338215021943E-2</v>
      </c>
    </row>
    <row r="597" spans="1:11">
      <c r="A597" s="1">
        <v>45568</v>
      </c>
      <c r="B597">
        <f t="shared" ref="B597:K597" si="191">B192-B$399</f>
        <v>-1.5503072137332203E-2</v>
      </c>
      <c r="C597">
        <f t="shared" si="191"/>
        <v>-7.4137236520292523E-3</v>
      </c>
      <c r="D597">
        <f t="shared" si="191"/>
        <v>-2.3726600864416437E-3</v>
      </c>
      <c r="E597">
        <f t="shared" si="191"/>
        <v>-8.5909880215901385E-3</v>
      </c>
      <c r="F597">
        <f t="shared" si="191"/>
        <v>-1.1569781521374433E-2</v>
      </c>
      <c r="G597">
        <f t="shared" si="191"/>
        <v>2.9719663083306036E-2</v>
      </c>
      <c r="H597">
        <f t="shared" si="191"/>
        <v>-5.7393046598221949E-3</v>
      </c>
      <c r="I597">
        <f t="shared" si="191"/>
        <v>-1.0085274250015494E-2</v>
      </c>
      <c r="J597">
        <f t="shared" si="191"/>
        <v>-3.5098349306234275E-2</v>
      </c>
      <c r="K597">
        <f t="shared" si="191"/>
        <v>-1.7019805578293926E-2</v>
      </c>
    </row>
    <row r="598" spans="1:11">
      <c r="A598" s="1">
        <v>45569</v>
      </c>
      <c r="B598">
        <f t="shared" ref="B598:K598" si="192">B193-B$399</f>
        <v>2.9761694171428661E-2</v>
      </c>
      <c r="C598">
        <f t="shared" si="192"/>
        <v>-5.4764090287198804E-3</v>
      </c>
      <c r="D598">
        <f t="shared" si="192"/>
        <v>-2.1106203448425366E-3</v>
      </c>
      <c r="E598">
        <f t="shared" si="192"/>
        <v>1.5693366489824282E-2</v>
      </c>
      <c r="F598">
        <f t="shared" si="192"/>
        <v>2.290945170055582E-3</v>
      </c>
      <c r="G598">
        <f t="shared" si="192"/>
        <v>1.2913527505487852E-2</v>
      </c>
      <c r="H598">
        <f t="shared" si="192"/>
        <v>-3.0462744617516502E-3</v>
      </c>
      <c r="I598">
        <f t="shared" si="192"/>
        <v>1.0329714030006367E-2</v>
      </c>
      <c r="J598">
        <f t="shared" si="192"/>
        <v>3.7615603553417934E-2</v>
      </c>
      <c r="K598">
        <f t="shared" si="192"/>
        <v>-3.59115404901148E-4</v>
      </c>
    </row>
    <row r="599" spans="1:11">
      <c r="A599" s="1">
        <v>45572</v>
      </c>
      <c r="B599">
        <f t="shared" ref="B599:K599" si="193">B194-B$399</f>
        <v>5.869228189509584E-3</v>
      </c>
      <c r="C599">
        <f t="shared" si="193"/>
        <v>-1.7044359128703671E-2</v>
      </c>
      <c r="D599">
        <f t="shared" si="193"/>
        <v>-1.6629024764383313E-2</v>
      </c>
      <c r="E599">
        <f t="shared" si="193"/>
        <v>-2.72627200850824E-2</v>
      </c>
      <c r="F599">
        <f t="shared" si="193"/>
        <v>-1.6800608554210603E-2</v>
      </c>
      <c r="G599">
        <f t="shared" si="193"/>
        <v>1.8478147272255219E-2</v>
      </c>
      <c r="H599">
        <f t="shared" si="193"/>
        <v>-4.2479653615955489E-3</v>
      </c>
      <c r="I599">
        <f t="shared" si="193"/>
        <v>-5.4177591336703832E-3</v>
      </c>
      <c r="J599">
        <f t="shared" si="193"/>
        <v>-3.8514910273334244E-2</v>
      </c>
      <c r="K599">
        <f t="shared" si="193"/>
        <v>-9.9915614246467027E-3</v>
      </c>
    </row>
    <row r="600" spans="1:11">
      <c r="A600" s="1">
        <v>45573</v>
      </c>
      <c r="B600">
        <f t="shared" ref="B600:K600" si="194">B195-B$399</f>
        <v>-8.0834111555189662E-3</v>
      </c>
      <c r="C600">
        <f t="shared" si="194"/>
        <v>1.9502673792868804E-3</v>
      </c>
      <c r="D600">
        <f t="shared" si="194"/>
        <v>1.1665745899148497E-2</v>
      </c>
      <c r="E600">
        <f t="shared" si="194"/>
        <v>2.5707426618736321E-2</v>
      </c>
      <c r="F600">
        <f t="shared" si="194"/>
        <v>-2.7834042825424101E-4</v>
      </c>
      <c r="G600">
        <f t="shared" si="194"/>
        <v>3.6542846823271746E-2</v>
      </c>
      <c r="H600">
        <f t="shared" si="194"/>
        <v>1.9473891733124863E-2</v>
      </c>
      <c r="I600">
        <f t="shared" si="194"/>
        <v>9.0466798691723159E-4</v>
      </c>
      <c r="J600">
        <f t="shared" si="194"/>
        <v>1.3712210769663957E-2</v>
      </c>
      <c r="K600">
        <f t="shared" si="194"/>
        <v>1.6484707392463702E-2</v>
      </c>
    </row>
    <row r="601" spans="1:11">
      <c r="A601" s="1">
        <v>45574</v>
      </c>
      <c r="B601">
        <f t="shared" ref="B601:K601" si="195">B196-B$399</f>
        <v>-3.4143366720357053E-2</v>
      </c>
      <c r="C601">
        <f t="shared" si="195"/>
        <v>5.1241465205529805E-3</v>
      </c>
      <c r="D601">
        <f t="shared" si="195"/>
        <v>5.6729690185129003E-3</v>
      </c>
      <c r="E601">
        <f t="shared" si="195"/>
        <v>5.2978314447774139E-3</v>
      </c>
      <c r="F601">
        <f t="shared" si="195"/>
        <v>2.1263758072920816E-2</v>
      </c>
      <c r="G601">
        <f t="shared" si="195"/>
        <v>-5.7422577178556939E-3</v>
      </c>
      <c r="H601">
        <f t="shared" si="195"/>
        <v>1.2716457139688166E-2</v>
      </c>
      <c r="I601">
        <f t="shared" si="195"/>
        <v>-3.7743360917140787E-3</v>
      </c>
      <c r="J601">
        <f t="shared" si="195"/>
        <v>-1.5637163722797932E-2</v>
      </c>
      <c r="K601">
        <f t="shared" si="195"/>
        <v>1.6740442630626837E-2</v>
      </c>
    </row>
    <row r="602" spans="1:11">
      <c r="A602" s="1">
        <v>45575</v>
      </c>
      <c r="B602">
        <f t="shared" ref="B602:K602" si="196">B197-B$399</f>
        <v>-1.8412421878110811E-2</v>
      </c>
      <c r="C602">
        <f t="shared" si="196"/>
        <v>-5.1128086366742428E-3</v>
      </c>
      <c r="D602">
        <f t="shared" si="196"/>
        <v>-4.8388727726895583E-3</v>
      </c>
      <c r="E602">
        <f t="shared" si="196"/>
        <v>1.3736879713451299E-3</v>
      </c>
      <c r="F602">
        <f t="shared" si="196"/>
        <v>-3.7811333325529091E-3</v>
      </c>
      <c r="G602">
        <f t="shared" si="196"/>
        <v>1.2347295318421323E-2</v>
      </c>
      <c r="H602">
        <f t="shared" si="196"/>
        <v>2.8847386788078988E-3</v>
      </c>
      <c r="I602">
        <f t="shared" si="196"/>
        <v>-2.1203607390979162E-2</v>
      </c>
      <c r="J602">
        <f t="shared" si="196"/>
        <v>-1.0985360116583843E-2</v>
      </c>
      <c r="K602">
        <f t="shared" si="196"/>
        <v>-2.6907043179710557E-2</v>
      </c>
    </row>
    <row r="603" spans="1:11">
      <c r="A603" s="1">
        <v>45576</v>
      </c>
      <c r="B603">
        <f t="shared" ref="B603:K603" si="197">B198-B$399</f>
        <v>3.0007848755345852E-2</v>
      </c>
      <c r="C603">
        <f t="shared" si="197"/>
        <v>4.107669168250944E-3</v>
      </c>
      <c r="D603">
        <f t="shared" si="197"/>
        <v>1.9607894176255968E-4</v>
      </c>
      <c r="E603">
        <f t="shared" si="197"/>
        <v>-1.2827834803043779E-2</v>
      </c>
      <c r="F603">
        <f t="shared" si="197"/>
        <v>1.0729478396515181E-3</v>
      </c>
      <c r="G603">
        <f t="shared" si="197"/>
        <v>-4.0104095126167211E-3</v>
      </c>
      <c r="H603">
        <f t="shared" si="197"/>
        <v>1.079746106811952E-2</v>
      </c>
      <c r="I603">
        <f t="shared" si="197"/>
        <v>1.7444353283581394E-2</v>
      </c>
      <c r="J603">
        <f t="shared" si="197"/>
        <v>-8.9351853953761814E-2</v>
      </c>
      <c r="K603">
        <f t="shared" si="197"/>
        <v>-1.4268476168158438E-3</v>
      </c>
    </row>
    <row r="604" spans="1:11">
      <c r="A604" s="1">
        <v>45579</v>
      </c>
      <c r="B604">
        <f t="shared" ref="B604:K604" si="198">B199-B$399</f>
        <v>-1.344368293702008E-2</v>
      </c>
      <c r="C604">
        <f t="shared" si="198"/>
        <v>1.0554794244747751E-2</v>
      </c>
      <c r="D604">
        <f t="shared" si="198"/>
        <v>5.8155084101838709E-3</v>
      </c>
      <c r="E604">
        <f t="shared" si="198"/>
        <v>-1.6102648092497448E-2</v>
      </c>
      <c r="F604">
        <f t="shared" si="198"/>
        <v>-6.2312419896569538E-3</v>
      </c>
      <c r="G604">
        <f t="shared" si="198"/>
        <v>2.0321975296752004E-2</v>
      </c>
      <c r="H604">
        <f t="shared" si="198"/>
        <v>7.6560131749942055E-3</v>
      </c>
      <c r="I604">
        <f t="shared" si="198"/>
        <v>-8.6120701016481147E-3</v>
      </c>
      <c r="J604">
        <f t="shared" si="198"/>
        <v>4.7175167480043127E-3</v>
      </c>
      <c r="K604">
        <f t="shared" si="198"/>
        <v>8.3301379009024651E-3</v>
      </c>
    </row>
    <row r="605" spans="1:11">
      <c r="A605" s="1">
        <v>45580</v>
      </c>
      <c r="B605">
        <f t="shared" ref="B605:K605" si="199">B200-B$399</f>
        <v>2.2550089203573216E-2</v>
      </c>
      <c r="C605">
        <f t="shared" si="199"/>
        <v>-5.1319682911294328E-4</v>
      </c>
      <c r="D605">
        <f t="shared" si="199"/>
        <v>-1.9126181236596008E-3</v>
      </c>
      <c r="E605">
        <f t="shared" si="199"/>
        <v>-1.2403691404925974E-2</v>
      </c>
      <c r="F605">
        <f t="shared" si="199"/>
        <v>6.8366012983399737E-3</v>
      </c>
      <c r="G605">
        <f t="shared" si="199"/>
        <v>-5.07966167570299E-2</v>
      </c>
      <c r="H605">
        <f t="shared" si="199"/>
        <v>-8.5923683955124502E-4</v>
      </c>
      <c r="I605">
        <f t="shared" si="199"/>
        <v>2.6105769176570839E-3</v>
      </c>
      <c r="J605">
        <f t="shared" si="199"/>
        <v>3.4404926121707133E-4</v>
      </c>
      <c r="K605">
        <f t="shared" si="199"/>
        <v>-5.8629697196024991E-3</v>
      </c>
    </row>
    <row r="606" spans="1:11">
      <c r="A606" s="1">
        <v>45581</v>
      </c>
      <c r="B606">
        <f t="shared" ref="B606:K606" si="200">B201-B$399</f>
        <v>1.6735930886113644E-2</v>
      </c>
      <c r="C606">
        <f t="shared" si="200"/>
        <v>2.7566604773346334E-3</v>
      </c>
      <c r="D606">
        <f t="shared" si="200"/>
        <v>-7.2151060200878877E-3</v>
      </c>
      <c r="E606">
        <f t="shared" si="200"/>
        <v>-8.1954676740188508E-3</v>
      </c>
      <c r="F606">
        <f t="shared" si="200"/>
        <v>2.2626448936194379E-2</v>
      </c>
      <c r="G606">
        <f t="shared" si="200"/>
        <v>2.7370602003962741E-2</v>
      </c>
      <c r="H606">
        <f t="shared" si="200"/>
        <v>-7.7961833168698176E-3</v>
      </c>
      <c r="I606">
        <f t="shared" si="200"/>
        <v>4.0748516318177466E-3</v>
      </c>
      <c r="J606">
        <f t="shared" si="200"/>
        <v>6.4888949436983749E-3</v>
      </c>
      <c r="K606">
        <f t="shared" si="200"/>
        <v>-1.540282648746094E-4</v>
      </c>
    </row>
    <row r="607" spans="1:11">
      <c r="A607" s="1">
        <v>45582</v>
      </c>
      <c r="B607">
        <f t="shared" ref="B607:K607" si="201">B202-B$399</f>
        <v>2.6451295148303745E-3</v>
      </c>
      <c r="C607">
        <f t="shared" si="201"/>
        <v>-1.0007215697794563E-2</v>
      </c>
      <c r="D607">
        <f t="shared" si="201"/>
        <v>4.8373414629422683E-4</v>
      </c>
      <c r="E607">
        <f t="shared" si="201"/>
        <v>-2.29995023754575E-2</v>
      </c>
      <c r="F607">
        <f t="shared" si="201"/>
        <v>-5.96914616470977E-3</v>
      </c>
      <c r="G607">
        <f t="shared" si="201"/>
        <v>4.9792388765372269E-3</v>
      </c>
      <c r="H607">
        <f t="shared" si="201"/>
        <v>1.3655664813799783E-3</v>
      </c>
      <c r="I607">
        <f t="shared" si="201"/>
        <v>-2.3346232571742707E-3</v>
      </c>
      <c r="J607">
        <f t="shared" si="201"/>
        <v>-3.5147395174502279E-3</v>
      </c>
      <c r="K607">
        <f t="shared" si="201"/>
        <v>-1.2524032981534182E-3</v>
      </c>
    </row>
    <row r="608" spans="1:11">
      <c r="A608" s="1">
        <v>45583</v>
      </c>
      <c r="B608">
        <f t="shared" ref="B608:K608" si="202">B203-B$399</f>
        <v>-1.9977554747699299E-3</v>
      </c>
      <c r="C608">
        <f t="shared" si="202"/>
        <v>7.2119892546181289E-3</v>
      </c>
      <c r="D608">
        <f t="shared" si="202"/>
        <v>2.4974054621984686E-3</v>
      </c>
      <c r="E608">
        <f t="shared" si="202"/>
        <v>0.108312395709314</v>
      </c>
      <c r="F608">
        <f t="shared" si="202"/>
        <v>-5.2916144914716291E-3</v>
      </c>
      <c r="G608">
        <f t="shared" si="202"/>
        <v>3.8779154546550437E-3</v>
      </c>
      <c r="H608">
        <f t="shared" si="202"/>
        <v>2.5093250286075696E-3</v>
      </c>
      <c r="I608">
        <f t="shared" si="202"/>
        <v>1.6135309464997739E-2</v>
      </c>
      <c r="J608">
        <f t="shared" si="202"/>
        <v>-2.3869144505840774E-3</v>
      </c>
      <c r="K608">
        <f t="shared" si="202"/>
        <v>-4.5160663227312306E-3</v>
      </c>
    </row>
    <row r="609" spans="1:11">
      <c r="A609" s="1">
        <v>45586</v>
      </c>
      <c r="B609">
        <f t="shared" ref="B609:K609" si="203">B204-B$399</f>
        <v>3.1095058267632321E-2</v>
      </c>
      <c r="C609">
        <f t="shared" si="203"/>
        <v>-1.4567650668683102E-2</v>
      </c>
      <c r="D609">
        <f t="shared" si="203"/>
        <v>5.244880013966091E-4</v>
      </c>
      <c r="E609">
        <f t="shared" si="203"/>
        <v>8.1503965554575192E-3</v>
      </c>
      <c r="F609">
        <f t="shared" si="203"/>
        <v>-1.6902132691836366E-2</v>
      </c>
      <c r="G609">
        <f t="shared" si="203"/>
        <v>3.7440626324358239E-2</v>
      </c>
      <c r="H609">
        <f t="shared" si="203"/>
        <v>-8.9662126720990156E-6</v>
      </c>
      <c r="I609">
        <f t="shared" si="203"/>
        <v>-4.3715648297798591E-3</v>
      </c>
      <c r="J609">
        <f t="shared" si="203"/>
        <v>-9.9091249636733998E-3</v>
      </c>
      <c r="K609">
        <f t="shared" si="203"/>
        <v>9.1710099565371574E-4</v>
      </c>
    </row>
    <row r="610" spans="1:11">
      <c r="A610" s="1">
        <v>45587</v>
      </c>
      <c r="B610">
        <f t="shared" ref="B610:K610" si="204">B205-B$399</f>
        <v>3.7364387803102148E-4</v>
      </c>
      <c r="C610">
        <f t="shared" si="204"/>
        <v>-5.1319682911294328E-4</v>
      </c>
      <c r="D610">
        <f t="shared" si="204"/>
        <v>1.9888007296291046E-2</v>
      </c>
      <c r="E610">
        <f t="shared" si="204"/>
        <v>-1.2699531225067338E-2</v>
      </c>
      <c r="F610">
        <f t="shared" si="204"/>
        <v>-2.7251436524576713E-4</v>
      </c>
      <c r="G610">
        <f t="shared" si="204"/>
        <v>-4.7712155936258677E-3</v>
      </c>
      <c r="H610">
        <f t="shared" si="204"/>
        <v>-3.3803461821141335E-3</v>
      </c>
      <c r="I610">
        <f t="shared" si="204"/>
        <v>3.4919962456564282E-3</v>
      </c>
      <c r="J610">
        <f t="shared" si="204"/>
        <v>-5.5477879184126395E-3</v>
      </c>
      <c r="K610">
        <f t="shared" si="204"/>
        <v>3.5650807682332942E-3</v>
      </c>
    </row>
    <row r="611" spans="1:11">
      <c r="A611" s="1">
        <v>45588</v>
      </c>
      <c r="B611">
        <f t="shared" ref="B611:K611" si="205">B206-B$399</f>
        <v>-1.7640037122484457E-2</v>
      </c>
      <c r="C611">
        <f t="shared" si="205"/>
        <v>-2.1247437135495765E-2</v>
      </c>
      <c r="D611">
        <f t="shared" si="205"/>
        <v>-7.7649961165747591E-3</v>
      </c>
      <c r="E611">
        <f t="shared" si="205"/>
        <v>-2.2119875656649354E-2</v>
      </c>
      <c r="F611">
        <f t="shared" si="205"/>
        <v>-1.6362375665977744E-2</v>
      </c>
      <c r="G611">
        <f t="shared" si="205"/>
        <v>-3.2002352312824722E-2</v>
      </c>
      <c r="H611">
        <f t="shared" si="205"/>
        <v>-7.8670170109330622E-3</v>
      </c>
      <c r="I611">
        <f t="shared" si="205"/>
        <v>8.2283099293295383E-3</v>
      </c>
      <c r="J611">
        <f t="shared" si="205"/>
        <v>-2.1346021427512341E-2</v>
      </c>
      <c r="K611">
        <f t="shared" si="205"/>
        <v>-8.6262580519095287E-5</v>
      </c>
    </row>
    <row r="612" spans="1:11">
      <c r="A612" s="1">
        <v>45589</v>
      </c>
      <c r="B612">
        <f t="shared" ref="B612:K612" si="206">B207-B$399</f>
        <v>-1.1844375169663019E-2</v>
      </c>
      <c r="C612">
        <f t="shared" si="206"/>
        <v>-1.09528665879915E-2</v>
      </c>
      <c r="D612">
        <f t="shared" si="206"/>
        <v>-6.520367571349739E-4</v>
      </c>
      <c r="E612">
        <f t="shared" si="206"/>
        <v>4.4620504406732171E-3</v>
      </c>
      <c r="F612">
        <f t="shared" si="206"/>
        <v>-1.2153303425549088E-2</v>
      </c>
      <c r="G612">
        <f t="shared" si="206"/>
        <v>2.1543405538470544E-3</v>
      </c>
      <c r="H612">
        <f t="shared" si="206"/>
        <v>-4.2911963736438326E-3</v>
      </c>
      <c r="I612">
        <f t="shared" si="206"/>
        <v>-5.464606425722782E-3</v>
      </c>
      <c r="J612">
        <f t="shared" si="206"/>
        <v>0.21766360394633694</v>
      </c>
      <c r="K612">
        <f t="shared" si="206"/>
        <v>-5.4649690831558165E-3</v>
      </c>
    </row>
    <row r="613" spans="1:11">
      <c r="A613" s="1">
        <v>45590</v>
      </c>
      <c r="B613">
        <f t="shared" ref="B613:K613" si="207">B208-B$399</f>
        <v>-1.2260057378471966E-3</v>
      </c>
      <c r="C613">
        <f t="shared" si="207"/>
        <v>-6.1596846267897905E-3</v>
      </c>
      <c r="D613">
        <f t="shared" si="207"/>
        <v>7.0939456155441208E-3</v>
      </c>
      <c r="E613">
        <f t="shared" si="207"/>
        <v>-2.3856471190354923E-3</v>
      </c>
      <c r="F613">
        <f t="shared" si="207"/>
        <v>-1.9398762737164886E-3</v>
      </c>
      <c r="G613">
        <f t="shared" si="207"/>
        <v>4.1115368073151842E-3</v>
      </c>
      <c r="H613">
        <f t="shared" si="207"/>
        <v>-1.872648747642145E-3</v>
      </c>
      <c r="I613">
        <f t="shared" si="207"/>
        <v>1.3026720323426801E-3</v>
      </c>
      <c r="J613">
        <f t="shared" si="207"/>
        <v>3.1911486841844042E-2</v>
      </c>
      <c r="K613">
        <f t="shared" si="207"/>
        <v>-9.7871842136483577E-4</v>
      </c>
    </row>
    <row r="614" spans="1:11">
      <c r="A614" s="1">
        <v>45593</v>
      </c>
      <c r="B614">
        <f t="shared" ref="B614:K614" si="208">B209-B$399</f>
        <v>-2.787088271005405E-2</v>
      </c>
      <c r="C614">
        <f t="shared" si="208"/>
        <v>-4.2489787438259648E-3</v>
      </c>
      <c r="D614">
        <f t="shared" si="208"/>
        <v>-4.6017452674119571E-3</v>
      </c>
      <c r="E614">
        <f t="shared" si="208"/>
        <v>-9.9252995488964806E-3</v>
      </c>
      <c r="F614">
        <f t="shared" si="208"/>
        <v>1.224782602280551E-3</v>
      </c>
      <c r="G614">
        <f t="shared" si="208"/>
        <v>-1.1142555368488573E-2</v>
      </c>
      <c r="H614">
        <f t="shared" si="208"/>
        <v>-1.1074441296379687E-2</v>
      </c>
      <c r="I614">
        <f t="shared" si="208"/>
        <v>6.9520417803859893E-3</v>
      </c>
      <c r="J614">
        <f t="shared" si="208"/>
        <v>-2.6341905622786533E-2</v>
      </c>
      <c r="K614">
        <f t="shared" si="208"/>
        <v>5.0461729029270116E-3</v>
      </c>
    </row>
    <row r="615" spans="1:11">
      <c r="A615" s="1">
        <v>45594</v>
      </c>
      <c r="B615">
        <f t="shared" ref="B615:K615" si="209">B210-B$399</f>
        <v>1.5194953584165288E-2</v>
      </c>
      <c r="C615">
        <f t="shared" si="209"/>
        <v>-1.7162476385076234E-2</v>
      </c>
      <c r="D615">
        <f t="shared" si="209"/>
        <v>1.1606532518929638E-2</v>
      </c>
      <c r="E615">
        <f t="shared" si="209"/>
        <v>1.1218232187627577E-2</v>
      </c>
      <c r="F615">
        <f t="shared" si="209"/>
        <v>-5.9991090250421809E-3</v>
      </c>
      <c r="G615">
        <f t="shared" si="209"/>
        <v>1.2585975942946397E-3</v>
      </c>
      <c r="H615">
        <f t="shared" si="209"/>
        <v>-1.3501092621593934E-2</v>
      </c>
      <c r="I615">
        <f t="shared" si="209"/>
        <v>-6.7714232941044148E-3</v>
      </c>
      <c r="J615">
        <f t="shared" si="209"/>
        <v>-1.2916867669000177E-2</v>
      </c>
      <c r="K615">
        <f t="shared" si="209"/>
        <v>-4.9789769864867826E-4</v>
      </c>
    </row>
    <row r="616" spans="1:11">
      <c r="A616" s="1">
        <v>45595</v>
      </c>
      <c r="B616">
        <f t="shared" ref="B616:K616" si="210">B211-B$399</f>
        <v>8.5614319784634348E-3</v>
      </c>
      <c r="C616">
        <f t="shared" si="210"/>
        <v>4.9780196038043348E-3</v>
      </c>
      <c r="D616">
        <f t="shared" si="210"/>
        <v>3.8455627565460503E-4</v>
      </c>
      <c r="E616">
        <f t="shared" si="210"/>
        <v>-1.0063488152140808E-2</v>
      </c>
      <c r="F616">
        <f t="shared" si="210"/>
        <v>-2.4408686215368278E-2</v>
      </c>
      <c r="G616">
        <f t="shared" si="210"/>
        <v>-1.7458386080708099E-2</v>
      </c>
      <c r="H616">
        <f t="shared" si="210"/>
        <v>-7.4248911783336676E-3</v>
      </c>
      <c r="I616">
        <f t="shared" si="210"/>
        <v>-1.0631701103384159E-3</v>
      </c>
      <c r="J616">
        <f t="shared" si="210"/>
        <v>-9.1176888962867693E-3</v>
      </c>
      <c r="K616">
        <f t="shared" si="210"/>
        <v>3.951391233835407E-3</v>
      </c>
    </row>
    <row r="617" spans="1:11">
      <c r="A617" s="1">
        <v>45596</v>
      </c>
      <c r="B617">
        <f t="shared" ref="B617:K617" si="211">B212-B$399</f>
        <v>-3.2278618090086746E-2</v>
      </c>
      <c r="C617">
        <f t="shared" si="211"/>
        <v>-9.7667596412762177E-3</v>
      </c>
      <c r="D617">
        <f t="shared" si="211"/>
        <v>-6.1485828579457599E-2</v>
      </c>
      <c r="E617">
        <f t="shared" si="211"/>
        <v>4.8029308033564972E-4</v>
      </c>
      <c r="F617">
        <f t="shared" si="211"/>
        <v>9.3585726322703688E-3</v>
      </c>
      <c r="G617">
        <f t="shared" si="211"/>
        <v>-5.1158814357359306E-2</v>
      </c>
      <c r="H617">
        <f t="shared" si="211"/>
        <v>-5.0547767205532995E-4</v>
      </c>
      <c r="I617">
        <f t="shared" si="211"/>
        <v>3.5604100857965417E-3</v>
      </c>
      <c r="J617">
        <f t="shared" si="211"/>
        <v>-3.1423784436270294E-2</v>
      </c>
      <c r="K617">
        <f t="shared" si="211"/>
        <v>2.8764402037112988E-2</v>
      </c>
    </row>
    <row r="618" spans="1:11">
      <c r="A618" s="1">
        <v>45597</v>
      </c>
      <c r="B618">
        <f t="shared" ref="B618:K618" si="212">B213-B$399</f>
        <v>3.5360897497721262E-2</v>
      </c>
      <c r="C618">
        <f t="shared" si="212"/>
        <v>-5.1065870664854292E-3</v>
      </c>
      <c r="D618">
        <f t="shared" si="212"/>
        <v>8.9347669637167698E-3</v>
      </c>
      <c r="E618">
        <f t="shared" si="212"/>
        <v>-2.4654238402791995E-3</v>
      </c>
      <c r="F618">
        <f t="shared" si="212"/>
        <v>1.2521609369241194E-2</v>
      </c>
      <c r="G618">
        <f t="shared" si="212"/>
        <v>1.5949229728155545E-2</v>
      </c>
      <c r="H618">
        <f t="shared" si="212"/>
        <v>-2.6739024219889474E-3</v>
      </c>
      <c r="I618">
        <f t="shared" si="212"/>
        <v>1.1631257645520523E-2</v>
      </c>
      <c r="J618">
        <f t="shared" si="212"/>
        <v>-5.0088774538782806E-3</v>
      </c>
      <c r="K618">
        <f t="shared" si="212"/>
        <v>-1.0266962583435693E-2</v>
      </c>
    </row>
    <row r="619" spans="1:11">
      <c r="A619" s="1">
        <v>45600</v>
      </c>
      <c r="B619">
        <f t="shared" ref="B619:K619" si="213">B214-B$399</f>
        <v>3.1032953481299808E-3</v>
      </c>
      <c r="C619">
        <f t="shared" si="213"/>
        <v>1.024898810300818E-3</v>
      </c>
      <c r="D619">
        <f t="shared" si="213"/>
        <v>-5.6125677254871128E-3</v>
      </c>
      <c r="E619">
        <f t="shared" si="213"/>
        <v>-3.3382165951585919E-3</v>
      </c>
      <c r="F619">
        <f t="shared" si="213"/>
        <v>-1.0681369452364075E-2</v>
      </c>
      <c r="G619">
        <f t="shared" si="213"/>
        <v>8.6438229074808741E-4</v>
      </c>
      <c r="H619">
        <f t="shared" si="213"/>
        <v>4.8058884418779061E-3</v>
      </c>
      <c r="I619">
        <f t="shared" si="213"/>
        <v>-1.8954510313626282E-2</v>
      </c>
      <c r="J619">
        <f t="shared" si="213"/>
        <v>-2.6187360038802444E-2</v>
      </c>
      <c r="K619">
        <f t="shared" si="213"/>
        <v>1.1057523293571722E-2</v>
      </c>
    </row>
    <row r="620" spans="1:11">
      <c r="A620" s="1">
        <v>45601</v>
      </c>
      <c r="B620">
        <f t="shared" ref="B620:K620" si="214">B215-B$399</f>
        <v>-2.6248020559374745E-2</v>
      </c>
      <c r="C620">
        <f t="shared" si="214"/>
        <v>3.4802374039451475E-3</v>
      </c>
      <c r="D620">
        <f t="shared" si="214"/>
        <v>6.3864657944339301E-3</v>
      </c>
      <c r="E620">
        <f t="shared" si="214"/>
        <v>8.5603271005035304E-3</v>
      </c>
      <c r="F620">
        <f t="shared" si="214"/>
        <v>1.069843193020782E-2</v>
      </c>
      <c r="G620">
        <f t="shared" si="214"/>
        <v>2.4435586814653909E-2</v>
      </c>
      <c r="H620">
        <f t="shared" si="214"/>
        <v>9.3544502121324386E-3</v>
      </c>
      <c r="I620">
        <f t="shared" si="214"/>
        <v>2.7399815738459414E-4</v>
      </c>
      <c r="J620">
        <f t="shared" si="214"/>
        <v>3.3887543447709792E-2</v>
      </c>
      <c r="K620">
        <f t="shared" si="214"/>
        <v>1.6138377676177693E-2</v>
      </c>
    </row>
    <row r="621" spans="1:11">
      <c r="A621" s="1">
        <v>45602</v>
      </c>
      <c r="B621">
        <f t="shared" ref="B621:K621" si="215">B216-B$399</f>
        <v>-2.5432202502716987E-2</v>
      </c>
      <c r="C621">
        <f t="shared" si="215"/>
        <v>-2.6060178575559371E-2</v>
      </c>
      <c r="D621">
        <f t="shared" si="215"/>
        <v>2.023462210367756E-2</v>
      </c>
      <c r="E621">
        <f t="shared" si="215"/>
        <v>1.8779715081817919E-2</v>
      </c>
      <c r="F621">
        <f t="shared" si="215"/>
        <v>-3.3647536381308116E-2</v>
      </c>
      <c r="G621">
        <f t="shared" si="215"/>
        <v>3.6804203210498432E-2</v>
      </c>
      <c r="H621">
        <f t="shared" si="215"/>
        <v>-1.8430572776925166E-2</v>
      </c>
      <c r="I621">
        <f t="shared" si="215"/>
        <v>-1.0746899734692015E-2</v>
      </c>
      <c r="J621">
        <f t="shared" si="215"/>
        <v>0.14598357768567355</v>
      </c>
      <c r="K621">
        <f t="shared" si="215"/>
        <v>2.9791530106841477E-2</v>
      </c>
    </row>
    <row r="622" spans="1:11">
      <c r="A622" s="1">
        <v>45603</v>
      </c>
      <c r="B622">
        <f t="shared" ref="B622:K622" si="216">B217-B$399</f>
        <v>2.5956323056241577E-2</v>
      </c>
      <c r="C622">
        <f t="shared" si="216"/>
        <v>-1.1411610338067416E-3</v>
      </c>
      <c r="D622">
        <f t="shared" si="216"/>
        <v>1.1536383756394222E-2</v>
      </c>
      <c r="E622">
        <f t="shared" si="216"/>
        <v>1.8372263739105114E-2</v>
      </c>
      <c r="F622">
        <f t="shared" si="216"/>
        <v>8.4300304536554359E-3</v>
      </c>
      <c r="G622">
        <f t="shared" si="216"/>
        <v>1.8521061198713162E-2</v>
      </c>
      <c r="H622">
        <f t="shared" si="216"/>
        <v>-4.0341150857723359E-3</v>
      </c>
      <c r="I622">
        <f t="shared" si="216"/>
        <v>7.2044075429702635E-5</v>
      </c>
      <c r="J622">
        <f t="shared" si="216"/>
        <v>2.7517043900440252E-2</v>
      </c>
      <c r="K622">
        <f t="shared" si="216"/>
        <v>-5.1469185940619814E-3</v>
      </c>
    </row>
    <row r="623" spans="1:11">
      <c r="A623" s="1">
        <v>45604</v>
      </c>
      <c r="B623">
        <f t="shared" ref="B623:K623" si="217">B218-B$399</f>
        <v>4.6345924181676098E-3</v>
      </c>
      <c r="C623">
        <f t="shared" si="217"/>
        <v>3.5710128048079223E-3</v>
      </c>
      <c r="D623">
        <f t="shared" si="217"/>
        <v>-7.7512317734776811E-3</v>
      </c>
      <c r="E623">
        <f t="shared" si="217"/>
        <v>-4.441086364071754E-3</v>
      </c>
      <c r="F623">
        <f t="shared" si="217"/>
        <v>-6.2996570230665426E-5</v>
      </c>
      <c r="G623">
        <f t="shared" si="217"/>
        <v>-1.2332366844355182E-2</v>
      </c>
      <c r="H623">
        <f t="shared" si="217"/>
        <v>7.044916010041982E-3</v>
      </c>
      <c r="I623">
        <f t="shared" si="217"/>
        <v>1.4533067839442739E-2</v>
      </c>
      <c r="J623">
        <f t="shared" si="217"/>
        <v>8.0349906972685028E-2</v>
      </c>
      <c r="K623">
        <f t="shared" si="217"/>
        <v>5.6272729617927399E-4</v>
      </c>
    </row>
    <row r="624" spans="1:11">
      <c r="A624" s="1">
        <v>45607</v>
      </c>
      <c r="B624">
        <f t="shared" ref="B624:K624" si="218">B219-B$399</f>
        <v>-1.7934160945647197E-2</v>
      </c>
      <c r="C624">
        <f t="shared" si="218"/>
        <v>-9.2741321366027248E-3</v>
      </c>
      <c r="D624">
        <f t="shared" si="218"/>
        <v>-1.1679071828662221E-2</v>
      </c>
      <c r="E624">
        <f t="shared" si="218"/>
        <v>1.0523192195358634E-2</v>
      </c>
      <c r="F624">
        <f t="shared" si="218"/>
        <v>9.9525634432408149E-3</v>
      </c>
      <c r="G624">
        <f t="shared" si="218"/>
        <v>-1.9989846358492935E-2</v>
      </c>
      <c r="H624">
        <f t="shared" si="218"/>
        <v>-4.8715944859084566E-3</v>
      </c>
      <c r="I624">
        <f t="shared" si="218"/>
        <v>2.7948911611703865E-2</v>
      </c>
      <c r="J624">
        <f t="shared" si="218"/>
        <v>8.8069164674621517E-2</v>
      </c>
      <c r="K624">
        <f t="shared" si="218"/>
        <v>-4.2441219097751485E-3</v>
      </c>
    </row>
    <row r="625" spans="1:11">
      <c r="A625" s="1">
        <v>45608</v>
      </c>
      <c r="B625">
        <f t="shared" ref="B625:K625" si="219">B220-B$399</f>
        <v>-2.5444891361670656E-2</v>
      </c>
      <c r="C625">
        <f t="shared" si="219"/>
        <v>-3.0384711128836387E-3</v>
      </c>
      <c r="D625">
        <f t="shared" si="219"/>
        <v>1.1051003393540051E-2</v>
      </c>
      <c r="E625">
        <f t="shared" si="219"/>
        <v>1.4898352383395043E-2</v>
      </c>
      <c r="F625">
        <f t="shared" si="219"/>
        <v>1.2473348358072024E-3</v>
      </c>
      <c r="G625">
        <f t="shared" si="219"/>
        <v>1.6922752636082172E-2</v>
      </c>
      <c r="H625">
        <f t="shared" si="219"/>
        <v>7.6370338580467273E-4</v>
      </c>
      <c r="I625">
        <f t="shared" si="219"/>
        <v>-1.5397542309957166E-2</v>
      </c>
      <c r="J625">
        <f t="shared" si="219"/>
        <v>-6.2983917515497409E-2</v>
      </c>
      <c r="K625">
        <f t="shared" si="219"/>
        <v>6.3717630749609419E-3</v>
      </c>
    </row>
    <row r="626" spans="1:11">
      <c r="A626" s="1">
        <v>45609</v>
      </c>
      <c r="B626">
        <f t="shared" ref="B626:K626" si="220">B221-B$399</f>
        <v>-3.5821815626620838E-2</v>
      </c>
      <c r="C626">
        <f t="shared" si="220"/>
        <v>-3.6777965525052795E-3</v>
      </c>
      <c r="D626">
        <f t="shared" si="220"/>
        <v>4.1714760417022193E-3</v>
      </c>
      <c r="E626">
        <f t="shared" si="220"/>
        <v>1.0828233642908693E-2</v>
      </c>
      <c r="F626">
        <f t="shared" si="220"/>
        <v>-1.3625422583305334E-3</v>
      </c>
      <c r="G626">
        <f t="shared" si="220"/>
        <v>-1.7558086696270403E-2</v>
      </c>
      <c r="H626">
        <f t="shared" si="220"/>
        <v>2.7106962749662311E-3</v>
      </c>
      <c r="I626">
        <f t="shared" si="220"/>
        <v>9.7771789469057648E-3</v>
      </c>
      <c r="J626">
        <f t="shared" si="220"/>
        <v>3.8006606288170756E-3</v>
      </c>
      <c r="K626">
        <f t="shared" si="220"/>
        <v>-2.3730526766109904E-3</v>
      </c>
    </row>
    <row r="627" spans="1:11">
      <c r="A627" s="1">
        <v>45610</v>
      </c>
      <c r="B627">
        <f t="shared" ref="B627:K627" si="221">B222-B$399</f>
        <v>-1.3076006338864349E-2</v>
      </c>
      <c r="C627">
        <f t="shared" si="221"/>
        <v>-7.6560115281662563E-3</v>
      </c>
      <c r="D627">
        <f t="shared" si="221"/>
        <v>3.0164234580958437E-3</v>
      </c>
      <c r="E627">
        <f t="shared" si="221"/>
        <v>5.6181986690624925E-3</v>
      </c>
      <c r="F627">
        <f t="shared" si="221"/>
        <v>-1.0513598508227738E-2</v>
      </c>
      <c r="G627">
        <f t="shared" si="221"/>
        <v>-5.8641530282394112E-4</v>
      </c>
      <c r="H627">
        <f t="shared" si="221"/>
        <v>2.765092980805075E-3</v>
      </c>
      <c r="I627">
        <f t="shared" si="221"/>
        <v>-6.0556996565908159E-3</v>
      </c>
      <c r="J627">
        <f t="shared" si="221"/>
        <v>-5.9242341845664168E-2</v>
      </c>
      <c r="K627">
        <f t="shared" si="221"/>
        <v>-7.267393433212214E-3</v>
      </c>
    </row>
    <row r="628" spans="1:11">
      <c r="A628" s="1">
        <v>45611</v>
      </c>
      <c r="B628">
        <f t="shared" ref="B628:K628" si="222">B223-B$399</f>
        <v>1.4838276352088181E-2</v>
      </c>
      <c r="C628">
        <f t="shared" si="222"/>
        <v>-1.3462859362845031E-2</v>
      </c>
      <c r="D628">
        <f t="shared" si="222"/>
        <v>-2.8810810411824747E-2</v>
      </c>
      <c r="E628">
        <f t="shared" si="222"/>
        <v>-1.8443076123787424E-2</v>
      </c>
      <c r="F628">
        <f t="shared" si="222"/>
        <v>1.3413341017018422E-2</v>
      </c>
      <c r="G628">
        <f t="shared" si="222"/>
        <v>-3.6506344482691688E-2</v>
      </c>
      <c r="H628">
        <f t="shared" si="222"/>
        <v>-3.9263049305488074E-2</v>
      </c>
      <c r="I628">
        <f t="shared" si="222"/>
        <v>-2.3723458899186454E-3</v>
      </c>
      <c r="J628">
        <f t="shared" si="222"/>
        <v>2.9130778693217185E-2</v>
      </c>
      <c r="K628">
        <f t="shared" si="222"/>
        <v>-7.5332079002500977E-3</v>
      </c>
    </row>
    <row r="629" spans="1:11">
      <c r="A629" s="1">
        <v>45614</v>
      </c>
      <c r="B629">
        <f t="shared" ref="B629:K629" si="223">B224-B$399</f>
        <v>2.6248273283679464E-2</v>
      </c>
      <c r="C629">
        <f t="shared" si="223"/>
        <v>1.4305019714700392E-3</v>
      </c>
      <c r="D629">
        <f t="shared" si="223"/>
        <v>8.7314049424548677E-4</v>
      </c>
      <c r="E629">
        <f t="shared" si="223"/>
        <v>2.5465221068708358E-2</v>
      </c>
      <c r="F629">
        <f t="shared" si="223"/>
        <v>-2.2625279396508033E-2</v>
      </c>
      <c r="G629">
        <f t="shared" si="223"/>
        <v>-1.6825474116915207E-2</v>
      </c>
      <c r="H629">
        <f t="shared" si="223"/>
        <v>-1.5517725237874625E-3</v>
      </c>
      <c r="I629">
        <f t="shared" si="223"/>
        <v>1.9773676513871508E-2</v>
      </c>
      <c r="J629">
        <f t="shared" si="223"/>
        <v>5.4659300091415355E-2</v>
      </c>
      <c r="K629">
        <f t="shared" si="223"/>
        <v>-5.4328739991844953E-4</v>
      </c>
    </row>
    <row r="630" spans="1:11">
      <c r="A630" s="1">
        <v>45615</v>
      </c>
      <c r="B630">
        <f t="shared" ref="B630:K630" si="224">B225-B$399</f>
        <v>1.202305815312083E-2</v>
      </c>
      <c r="C630">
        <f t="shared" si="224"/>
        <v>1.1287560054278828E-2</v>
      </c>
      <c r="D630">
        <f t="shared" si="224"/>
        <v>3.9243537650153352E-3</v>
      </c>
      <c r="E630">
        <f t="shared" si="224"/>
        <v>2.6094463554797779E-2</v>
      </c>
      <c r="F630">
        <f t="shared" si="224"/>
        <v>-1.2621828077872476E-2</v>
      </c>
      <c r="G630">
        <f t="shared" si="224"/>
        <v>4.5011370367496084E-2</v>
      </c>
      <c r="H630">
        <f t="shared" si="224"/>
        <v>-9.8919830511935408E-3</v>
      </c>
      <c r="I630">
        <f t="shared" si="224"/>
        <v>-2.0762587032716173E-2</v>
      </c>
      <c r="J630">
        <f t="shared" si="224"/>
        <v>1.9905649697719751E-2</v>
      </c>
      <c r="K630">
        <f t="shared" si="224"/>
        <v>-1.7044973256975918E-2</v>
      </c>
    </row>
    <row r="631" spans="1:11">
      <c r="A631" s="1">
        <v>45616</v>
      </c>
      <c r="B631">
        <f t="shared" ref="B631:K631" si="225">B226-B$399</f>
        <v>3.2949106357464454E-3</v>
      </c>
      <c r="C631">
        <f t="shared" si="225"/>
        <v>5.8776247406962471E-3</v>
      </c>
      <c r="D631">
        <f t="shared" si="225"/>
        <v>-6.463378589307441E-3</v>
      </c>
      <c r="E631">
        <f t="shared" si="225"/>
        <v>1.1822501932849562E-2</v>
      </c>
      <c r="F631">
        <f t="shared" si="225"/>
        <v>-6.9776628652651208E-3</v>
      </c>
      <c r="G631">
        <f t="shared" si="225"/>
        <v>-1.1554741318765606E-2</v>
      </c>
      <c r="H631">
        <f t="shared" si="225"/>
        <v>1.3165872995242968E-2</v>
      </c>
      <c r="I631">
        <f t="shared" si="225"/>
        <v>-1.2592897819622226E-3</v>
      </c>
      <c r="J631">
        <f t="shared" si="225"/>
        <v>-1.3000738723921424E-2</v>
      </c>
      <c r="K631">
        <f t="shared" si="225"/>
        <v>2.6127271570737655E-3</v>
      </c>
    </row>
    <row r="632" spans="1:11">
      <c r="A632" s="1">
        <v>45617</v>
      </c>
      <c r="B632">
        <f t="shared" ref="B632:K632" si="226">B227-B$399</f>
        <v>-1.8279406494089261E-2</v>
      </c>
      <c r="C632">
        <f t="shared" si="226"/>
        <v>1.1710967072991402E-2</v>
      </c>
      <c r="D632">
        <f t="shared" si="226"/>
        <v>-5.2749879192148649E-3</v>
      </c>
      <c r="E632">
        <f t="shared" si="226"/>
        <v>1.2863232989076824E-2</v>
      </c>
      <c r="F632">
        <f t="shared" si="226"/>
        <v>2.4182653111427213E-2</v>
      </c>
      <c r="G632">
        <f t="shared" si="226"/>
        <v>1.4103117391627822E-3</v>
      </c>
      <c r="H632">
        <f t="shared" si="226"/>
        <v>1.0355910009821502E-2</v>
      </c>
      <c r="I632">
        <f t="shared" si="226"/>
        <v>1.7974445190536915E-2</v>
      </c>
      <c r="J632">
        <f t="shared" si="226"/>
        <v>-8.5143915227849261E-3</v>
      </c>
      <c r="K632">
        <f t="shared" si="226"/>
        <v>1.7280477976209949E-2</v>
      </c>
    </row>
    <row r="633" spans="1:11">
      <c r="A633" s="1">
        <v>45618</v>
      </c>
      <c r="B633">
        <f t="shared" ref="B633:K633" si="227">B228-B$399</f>
        <v>4.0999488294963977E-2</v>
      </c>
      <c r="C633">
        <f t="shared" si="227"/>
        <v>1.9962351760505711E-3</v>
      </c>
      <c r="D633">
        <f t="shared" si="227"/>
        <v>9.0449059321349307E-3</v>
      </c>
      <c r="E633">
        <f t="shared" si="227"/>
        <v>-2.212532827586764E-3</v>
      </c>
      <c r="F633">
        <f t="shared" si="227"/>
        <v>3.1089610482737964E-2</v>
      </c>
      <c r="G633">
        <f t="shared" si="227"/>
        <v>-3.6117476846227736E-2</v>
      </c>
      <c r="H633">
        <f t="shared" si="227"/>
        <v>1.0629453168862992E-2</v>
      </c>
      <c r="I633">
        <f t="shared" si="227"/>
        <v>2.4041147075566916E-2</v>
      </c>
      <c r="J633">
        <f t="shared" si="227"/>
        <v>3.6513479226608039E-2</v>
      </c>
      <c r="K633">
        <f t="shared" si="227"/>
        <v>6.0654021055747145E-5</v>
      </c>
    </row>
    <row r="634" spans="1:11">
      <c r="A634" s="1">
        <v>45621</v>
      </c>
      <c r="B634">
        <f t="shared" ref="B634:K634" si="228">B229-B$399</f>
        <v>2.5519122270370294E-2</v>
      </c>
      <c r="C634">
        <f t="shared" si="228"/>
        <v>6.6832312749627813E-3</v>
      </c>
      <c r="D634">
        <f t="shared" si="228"/>
        <v>3.3344302748150732E-3</v>
      </c>
      <c r="E634">
        <f t="shared" si="228"/>
        <v>-3.8423736563466149E-2</v>
      </c>
      <c r="F634">
        <f t="shared" si="228"/>
        <v>2.4494990721468116E-2</v>
      </c>
      <c r="G634">
        <f t="shared" si="228"/>
        <v>-4.5711425850976706E-2</v>
      </c>
      <c r="H634">
        <f t="shared" si="228"/>
        <v>6.7581875996402E-3</v>
      </c>
      <c r="I634">
        <f t="shared" si="228"/>
        <v>-6.7833471436801272E-3</v>
      </c>
      <c r="J634">
        <f t="shared" si="228"/>
        <v>-4.1151211577996324E-2</v>
      </c>
      <c r="K634">
        <f t="shared" si="228"/>
        <v>2.8154790543896148E-5</v>
      </c>
    </row>
    <row r="635" spans="1:11">
      <c r="A635" s="1">
        <v>45622</v>
      </c>
      <c r="B635">
        <f t="shared" ref="B635:K635" si="229">B230-B$399</f>
        <v>-1.5285966336300911E-2</v>
      </c>
      <c r="C635">
        <f t="shared" si="229"/>
        <v>2.1274923897443517E-3</v>
      </c>
      <c r="D635">
        <f t="shared" si="229"/>
        <v>2.100984634484894E-2</v>
      </c>
      <c r="E635">
        <f t="shared" si="229"/>
        <v>5.5405212014073019E-3</v>
      </c>
      <c r="F635">
        <f t="shared" si="229"/>
        <v>-2.0353596468990695E-2</v>
      </c>
      <c r="G635">
        <f t="shared" si="229"/>
        <v>2.6804397470045465E-3</v>
      </c>
      <c r="H635">
        <f t="shared" si="229"/>
        <v>-5.1818105094950636E-3</v>
      </c>
      <c r="I635">
        <f t="shared" si="229"/>
        <v>-1.1734621959710987E-2</v>
      </c>
      <c r="J635">
        <f t="shared" si="229"/>
        <v>-2.5899363234654256E-3</v>
      </c>
      <c r="K635">
        <f t="shared" si="229"/>
        <v>5.7168327517243397E-3</v>
      </c>
    </row>
    <row r="636" spans="1:11">
      <c r="A636" s="1">
        <v>45623</v>
      </c>
      <c r="B636">
        <f t="shared" ref="B636:K636" si="230">B231-B$399</f>
        <v>1.08764502026299E-2</v>
      </c>
      <c r="C636">
        <f t="shared" si="230"/>
        <v>-2.3722821040622114E-3</v>
      </c>
      <c r="D636">
        <f t="shared" si="230"/>
        <v>-1.2640755165761672E-2</v>
      </c>
      <c r="E636">
        <f t="shared" si="230"/>
        <v>2.8741593679766941E-3</v>
      </c>
      <c r="F636">
        <f t="shared" si="230"/>
        <v>9.8697077133148691E-3</v>
      </c>
      <c r="G636">
        <f t="shared" si="230"/>
        <v>-1.5475947124036939E-2</v>
      </c>
      <c r="H636">
        <f t="shared" si="230"/>
        <v>3.7299776765650238E-3</v>
      </c>
      <c r="I636">
        <f t="shared" si="230"/>
        <v>7.8996824539808632E-3</v>
      </c>
      <c r="J636">
        <f t="shared" si="230"/>
        <v>-1.7314808621093625E-2</v>
      </c>
      <c r="K636">
        <f t="shared" si="230"/>
        <v>1.2592183410187016E-2</v>
      </c>
    </row>
    <row r="637" spans="1:11">
      <c r="A637" s="1">
        <v>45625</v>
      </c>
      <c r="B637">
        <f t="shared" ref="B637:K637" si="231">B232-B$399</f>
        <v>1.9945800250672448E-2</v>
      </c>
      <c r="C637">
        <f t="shared" si="231"/>
        <v>1.5979813150544483E-3</v>
      </c>
      <c r="D637">
        <f t="shared" si="231"/>
        <v>1.5300783521145277E-4</v>
      </c>
      <c r="E637">
        <f t="shared" si="231"/>
        <v>8.2360154921473101E-3</v>
      </c>
      <c r="F637">
        <f t="shared" si="231"/>
        <v>5.9528919567365512E-3</v>
      </c>
      <c r="G637">
        <f t="shared" si="231"/>
        <v>1.7565281384709086E-2</v>
      </c>
      <c r="H637">
        <f t="shared" si="231"/>
        <v>4.7627942879470168E-3</v>
      </c>
      <c r="I637">
        <f t="shared" si="231"/>
        <v>9.0144728648701069E-3</v>
      </c>
      <c r="J637">
        <f t="shared" si="231"/>
        <v>3.5332241118541344E-2</v>
      </c>
      <c r="K637">
        <f t="shared" si="231"/>
        <v>2.8495186041579824E-3</v>
      </c>
    </row>
    <row r="638" spans="1:11">
      <c r="A638" s="1">
        <v>45628</v>
      </c>
      <c r="B638">
        <f t="shared" ref="B638:K638" si="232">B233-B$399</f>
        <v>7.0748633486576503E-3</v>
      </c>
      <c r="C638">
        <f t="shared" si="232"/>
        <v>-7.2235458510911451E-3</v>
      </c>
      <c r="D638">
        <f t="shared" si="232"/>
        <v>1.6800217558521138E-2</v>
      </c>
      <c r="E638">
        <f t="shared" si="232"/>
        <v>9.7671253329290626E-3</v>
      </c>
      <c r="F638">
        <f t="shared" si="232"/>
        <v>9.6510207719596851E-3</v>
      </c>
      <c r="G638">
        <f t="shared" si="232"/>
        <v>-1.1877154232007876E-3</v>
      </c>
      <c r="H638">
        <f t="shared" si="232"/>
        <v>-2.1706799173826208E-3</v>
      </c>
      <c r="I638">
        <f t="shared" si="232"/>
        <v>-9.616203121545994E-3</v>
      </c>
      <c r="J638">
        <f t="shared" si="232"/>
        <v>3.3036912268825505E-2</v>
      </c>
      <c r="K638">
        <f t="shared" si="232"/>
        <v>-5.3617053669867279E-3</v>
      </c>
    </row>
    <row r="639" spans="1:11">
      <c r="A639" s="1">
        <v>45629</v>
      </c>
      <c r="B639">
        <f t="shared" ref="B639:K639" si="233">B234-B$399</f>
        <v>-9.8394618641342527E-3</v>
      </c>
      <c r="C639">
        <f t="shared" si="233"/>
        <v>-2.5556618109121069E-3</v>
      </c>
      <c r="D639">
        <f t="shared" si="233"/>
        <v>-4.4769307194412967E-4</v>
      </c>
      <c r="E639">
        <f t="shared" si="233"/>
        <v>2.3766637686675773E-3</v>
      </c>
      <c r="F639">
        <f t="shared" si="233"/>
        <v>-2.4441066835095711E-3</v>
      </c>
      <c r="G639">
        <f t="shared" si="233"/>
        <v>7.8217639417847411E-3</v>
      </c>
      <c r="H639">
        <f t="shared" si="233"/>
        <v>-8.0030815590524922E-3</v>
      </c>
      <c r="I639">
        <f t="shared" si="233"/>
        <v>2.4680858663927123E-4</v>
      </c>
      <c r="J639">
        <f t="shared" si="233"/>
        <v>-1.7405049056560751E-2</v>
      </c>
      <c r="K639">
        <f t="shared" si="233"/>
        <v>2.6004896208206271E-2</v>
      </c>
    </row>
    <row r="640" spans="1:11">
      <c r="A640" s="1">
        <v>45630</v>
      </c>
      <c r="B640">
        <f t="shared" ref="B640:K640" si="234">B235-B$399</f>
        <v>2.1159519268135259E-2</v>
      </c>
      <c r="C640">
        <f t="shared" si="234"/>
        <v>-2.1136661091236856E-2</v>
      </c>
      <c r="D640">
        <f t="shared" si="234"/>
        <v>1.3466631177374358E-2</v>
      </c>
      <c r="E640">
        <f t="shared" si="234"/>
        <v>7.2960933557655889E-3</v>
      </c>
      <c r="F640">
        <f t="shared" si="234"/>
        <v>-5.7496425644786176E-3</v>
      </c>
      <c r="G640">
        <f t="shared" si="234"/>
        <v>3.0856159576202857E-2</v>
      </c>
      <c r="H640">
        <f t="shared" si="234"/>
        <v>-9.1234982997047114E-3</v>
      </c>
      <c r="I640">
        <f t="shared" si="234"/>
        <v>-8.9098332709896064E-3</v>
      </c>
      <c r="J640">
        <f t="shared" si="234"/>
        <v>1.6998035553206291E-2</v>
      </c>
      <c r="K640">
        <f t="shared" si="234"/>
        <v>9.8417773394923608E-3</v>
      </c>
    </row>
    <row r="641" spans="1:11">
      <c r="A641" s="1">
        <v>45631</v>
      </c>
      <c r="B641">
        <f t="shared" ref="B641:K641" si="235">B236-B$399</f>
        <v>-1.0173614472641696E-2</v>
      </c>
      <c r="C641">
        <f t="shared" si="235"/>
        <v>1.0899794378054268E-2</v>
      </c>
      <c r="D641">
        <f t="shared" si="235"/>
        <v>1.0929683744550292E-2</v>
      </c>
      <c r="E641">
        <f t="shared" si="235"/>
        <v>4.9168651910478939E-3</v>
      </c>
      <c r="F641">
        <f t="shared" si="235"/>
        <v>3.1435275022954194E-3</v>
      </c>
      <c r="G641">
        <f t="shared" si="235"/>
        <v>-4.4184989554754712E-3</v>
      </c>
      <c r="H641">
        <f t="shared" si="235"/>
        <v>2.2118741577371614E-3</v>
      </c>
      <c r="I641">
        <f t="shared" si="235"/>
        <v>-1.4941985227994956E-2</v>
      </c>
      <c r="J641">
        <f t="shared" si="235"/>
        <v>3.0770064896946957E-2</v>
      </c>
      <c r="K641">
        <f t="shared" si="235"/>
        <v>-8.3117529528133477E-3</v>
      </c>
    </row>
    <row r="642" spans="1:11">
      <c r="A642" s="1">
        <v>45632</v>
      </c>
      <c r="B642">
        <f t="shared" ref="B642:K642" si="236">B237-B$399</f>
        <v>-1.749078804130471E-2</v>
      </c>
      <c r="C642">
        <f t="shared" si="236"/>
        <v>-6.7115593138979465E-3</v>
      </c>
      <c r="D642">
        <f t="shared" si="236"/>
        <v>1.188080768487879E-3</v>
      </c>
      <c r="E642">
        <f t="shared" si="236"/>
        <v>1.5821562147131655E-2</v>
      </c>
      <c r="F642">
        <f t="shared" si="236"/>
        <v>4.4088467620387994E-3</v>
      </c>
      <c r="G642">
        <f t="shared" si="236"/>
        <v>-2.1997682251466311E-2</v>
      </c>
      <c r="H642">
        <f t="shared" si="236"/>
        <v>-8.1754433035196011E-3</v>
      </c>
      <c r="I642">
        <f t="shared" si="236"/>
        <v>8.5240537243479377E-3</v>
      </c>
      <c r="J642">
        <f t="shared" si="236"/>
        <v>5.1871211260677688E-2</v>
      </c>
      <c r="K642">
        <f t="shared" si="236"/>
        <v>-2.321840369014401E-2</v>
      </c>
    </row>
    <row r="643" spans="1:11">
      <c r="A643" s="1">
        <v>45635</v>
      </c>
      <c r="B643">
        <f t="shared" ref="B643:K643" si="237">B238-B$399</f>
        <v>2.0202230573610876E-2</v>
      </c>
      <c r="C643">
        <f t="shared" si="237"/>
        <v>6.0626227538068201E-4</v>
      </c>
      <c r="D643">
        <f t="shared" si="237"/>
        <v>4.5651547018192998E-3</v>
      </c>
      <c r="E643">
        <f t="shared" si="237"/>
        <v>-2.5077560015092922E-2</v>
      </c>
      <c r="F643">
        <f t="shared" si="237"/>
        <v>-1.5380874102146268E-2</v>
      </c>
      <c r="G643">
        <f t="shared" si="237"/>
        <v>-2.9420850856806957E-2</v>
      </c>
      <c r="H643">
        <f t="shared" si="237"/>
        <v>1.0923742637874658E-2</v>
      </c>
      <c r="I643">
        <f t="shared" si="237"/>
        <v>-8.3355004110041795E-3</v>
      </c>
      <c r="J643">
        <f t="shared" si="237"/>
        <v>-6.2260547149351614E-5</v>
      </c>
      <c r="K643">
        <f t="shared" si="237"/>
        <v>-3.2789409785003956E-2</v>
      </c>
    </row>
    <row r="644" spans="1:11">
      <c r="A644" s="1">
        <v>45636</v>
      </c>
      <c r="B644">
        <f t="shared" ref="B644:K644" si="238">B239-B$399</f>
        <v>4.4955019291880345E-2</v>
      </c>
      <c r="C644">
        <f t="shared" si="238"/>
        <v>4.438890642681376E-3</v>
      </c>
      <c r="D644">
        <f t="shared" si="238"/>
        <v>-6.9893697662479623E-3</v>
      </c>
      <c r="E644">
        <f t="shared" si="238"/>
        <v>-2.9300885608350403E-3</v>
      </c>
      <c r="F644">
        <f t="shared" si="238"/>
        <v>-1.1128071660340898E-2</v>
      </c>
      <c r="G644">
        <f t="shared" si="238"/>
        <v>-3.0879442412075353E-2</v>
      </c>
      <c r="H644">
        <f t="shared" si="238"/>
        <v>2.5966812158767527E-3</v>
      </c>
      <c r="I644">
        <f t="shared" si="238"/>
        <v>-1.1924068950115338E-2</v>
      </c>
      <c r="J644">
        <f t="shared" si="238"/>
        <v>2.7206626197918315E-2</v>
      </c>
      <c r="K644">
        <f t="shared" si="238"/>
        <v>-1.5340516169849064E-2</v>
      </c>
    </row>
    <row r="645" spans="1:11">
      <c r="A645" s="1">
        <v>45637</v>
      </c>
      <c r="B645">
        <f t="shared" ref="B645:K645" si="239">B240-B$399</f>
        <v>1.1332792221255555E-2</v>
      </c>
      <c r="C645">
        <f t="shared" si="239"/>
        <v>-4.8050198800618279E-3</v>
      </c>
      <c r="D645">
        <f t="shared" si="239"/>
        <v>1.1808910161380984E-2</v>
      </c>
      <c r="E645">
        <f t="shared" si="239"/>
        <v>2.2854028062252511E-2</v>
      </c>
      <c r="F645">
        <f t="shared" si="239"/>
        <v>2.7959382345245434E-2</v>
      </c>
      <c r="G645">
        <f t="shared" si="239"/>
        <v>2.7454785744455534E-2</v>
      </c>
      <c r="H645">
        <f t="shared" si="239"/>
        <v>-1.8930050943891882E-2</v>
      </c>
      <c r="I645">
        <f t="shared" si="239"/>
        <v>2.3043421195315574E-3</v>
      </c>
      <c r="J645">
        <f t="shared" si="239"/>
        <v>5.7776476162778437E-2</v>
      </c>
      <c r="K645">
        <f t="shared" si="239"/>
        <v>6.4150691420566249E-3</v>
      </c>
    </row>
    <row r="646" spans="1:11">
      <c r="A646" s="1">
        <v>45638</v>
      </c>
      <c r="B646">
        <f t="shared" ref="B646:K646" si="240">B241-B$399</f>
        <v>1.0783927431568812E-2</v>
      </c>
      <c r="C646">
        <f t="shared" si="240"/>
        <v>1.8643900525634968E-2</v>
      </c>
      <c r="D646">
        <f t="shared" si="240"/>
        <v>3.1122857687383763E-4</v>
      </c>
      <c r="E646">
        <f t="shared" si="240"/>
        <v>-1.4313739305396199E-2</v>
      </c>
      <c r="F646">
        <f t="shared" si="240"/>
        <v>-1.0823412457595537E-2</v>
      </c>
      <c r="G646">
        <f t="shared" si="240"/>
        <v>-1.8077370748870114E-2</v>
      </c>
      <c r="H646">
        <f t="shared" si="240"/>
        <v>1.3863317812811251E-2</v>
      </c>
      <c r="I646">
        <f t="shared" si="240"/>
        <v>-6.4405059043875033E-3</v>
      </c>
      <c r="J646">
        <f t="shared" si="240"/>
        <v>-1.7229322462644348E-2</v>
      </c>
      <c r="K646">
        <f t="shared" si="240"/>
        <v>-5.4477671928612895E-3</v>
      </c>
    </row>
    <row r="647" spans="1:11">
      <c r="A647" s="1">
        <v>45639</v>
      </c>
      <c r="B647">
        <f t="shared" ref="B647:K647" si="241">B242-B$399</f>
        <v>1.132457897596168E-2</v>
      </c>
      <c r="C647">
        <f t="shared" si="241"/>
        <v>-1.1791434024616526E-2</v>
      </c>
      <c r="D647">
        <f t="shared" si="241"/>
        <v>-6.0520513038570941E-3</v>
      </c>
      <c r="E647">
        <f t="shared" si="241"/>
        <v>-9.7752641296235381E-3</v>
      </c>
      <c r="F647">
        <f t="shared" si="241"/>
        <v>-8.6433126274150108E-3</v>
      </c>
      <c r="G647">
        <f t="shared" si="241"/>
        <v>-2.6435102118525677E-2</v>
      </c>
      <c r="H647">
        <f t="shared" si="241"/>
        <v>-5.5760895788372596E-3</v>
      </c>
      <c r="I647">
        <f t="shared" si="241"/>
        <v>-4.4333757521788451E-3</v>
      </c>
      <c r="J647">
        <f t="shared" si="241"/>
        <v>4.1836096147394988E-2</v>
      </c>
      <c r="K647">
        <f t="shared" si="241"/>
        <v>9.0900899507105198E-3</v>
      </c>
    </row>
    <row r="648" spans="1:11">
      <c r="A648" s="1">
        <v>45642</v>
      </c>
      <c r="B648">
        <f t="shared" ref="B648:K648" si="242">B243-B$399</f>
        <v>2.0746862810457629E-2</v>
      </c>
      <c r="C648">
        <f t="shared" si="242"/>
        <v>-9.5435952053098457E-3</v>
      </c>
      <c r="D648">
        <f t="shared" si="242"/>
        <v>8.7003505816036913E-3</v>
      </c>
      <c r="E648">
        <f t="shared" si="242"/>
        <v>-1.5278974855620136E-4</v>
      </c>
      <c r="F648">
        <f t="shared" si="242"/>
        <v>-1.8339227934770366E-4</v>
      </c>
      <c r="G648">
        <f t="shared" si="242"/>
        <v>-2.0696122064757072E-2</v>
      </c>
      <c r="H648">
        <f t="shared" si="242"/>
        <v>-1.2067494999532523E-2</v>
      </c>
      <c r="I648">
        <f t="shared" si="242"/>
        <v>-4.4482999326143975E-2</v>
      </c>
      <c r="J648">
        <f t="shared" si="242"/>
        <v>5.988575892310706E-2</v>
      </c>
      <c r="K648">
        <f t="shared" si="242"/>
        <v>4.9486652017923091E-3</v>
      </c>
    </row>
    <row r="649" spans="1:11">
      <c r="A649" s="1">
        <v>45643</v>
      </c>
      <c r="B649">
        <f t="shared" ref="B649:K649" si="243">B244-B$399</f>
        <v>-8.1021378313566586E-4</v>
      </c>
      <c r="C649">
        <f t="shared" si="243"/>
        <v>1.3075959218767303E-2</v>
      </c>
      <c r="D649">
        <f t="shared" si="243"/>
        <v>5.3971883021213399E-3</v>
      </c>
      <c r="E649">
        <f t="shared" si="243"/>
        <v>-4.6750348750257947E-3</v>
      </c>
      <c r="F649">
        <f t="shared" si="243"/>
        <v>1.0826617466164768E-2</v>
      </c>
      <c r="G649">
        <f t="shared" si="243"/>
        <v>-1.6133117947477904E-2</v>
      </c>
      <c r="H649">
        <f t="shared" si="243"/>
        <v>1.0456403724729024E-3</v>
      </c>
      <c r="I649">
        <f t="shared" si="243"/>
        <v>-1.1405354798233689E-2</v>
      </c>
      <c r="J649">
        <f t="shared" si="243"/>
        <v>3.48431654231703E-2</v>
      </c>
      <c r="K649">
        <f t="shared" si="243"/>
        <v>-9.0698261231589444E-3</v>
      </c>
    </row>
    <row r="650" spans="1:11">
      <c r="A650" s="1">
        <v>45644</v>
      </c>
      <c r="B650">
        <f t="shared" ref="B650:K650" si="244">B245-B$399</f>
        <v>-2.3713156553935521E-3</v>
      </c>
      <c r="C650">
        <f t="shared" si="244"/>
        <v>-9.1883611450183696E-3</v>
      </c>
      <c r="D650">
        <f t="shared" si="244"/>
        <v>-3.8519232105910559E-2</v>
      </c>
      <c r="E650">
        <f t="shared" si="244"/>
        <v>-3.4740567600016481E-2</v>
      </c>
      <c r="F650">
        <f t="shared" si="244"/>
        <v>-1.3638653677095368E-2</v>
      </c>
      <c r="G650">
        <f t="shared" si="244"/>
        <v>-1.5286862049900209E-2</v>
      </c>
      <c r="H650">
        <f t="shared" si="244"/>
        <v>-1.0675147011431572E-2</v>
      </c>
      <c r="I650">
        <f t="shared" si="244"/>
        <v>-2.4125309391566329E-2</v>
      </c>
      <c r="J650">
        <f t="shared" si="244"/>
        <v>-8.4321690451743689E-2</v>
      </c>
      <c r="K650">
        <f t="shared" si="244"/>
        <v>-1.0299940936214849E-2</v>
      </c>
    </row>
    <row r="651" spans="1:11">
      <c r="A651" s="1">
        <v>45645</v>
      </c>
      <c r="B651">
        <f t="shared" ref="B651:K651" si="245">B246-B$399</f>
        <v>2.5603602908257091E-2</v>
      </c>
      <c r="C651">
        <f t="shared" si="245"/>
        <v>-6.8774573127339863E-3</v>
      </c>
      <c r="D651">
        <f t="shared" si="245"/>
        <v>-1.781316844776878E-3</v>
      </c>
      <c r="E651">
        <f t="shared" si="245"/>
        <v>1.1482854652468845E-2</v>
      </c>
      <c r="F651">
        <f t="shared" si="245"/>
        <v>3.0646623186424541E-3</v>
      </c>
      <c r="G651">
        <f t="shared" si="245"/>
        <v>9.7941371639686508E-3</v>
      </c>
      <c r="H651">
        <f t="shared" si="245"/>
        <v>-1.8890624443776646E-2</v>
      </c>
      <c r="I651">
        <f t="shared" si="245"/>
        <v>-1.3024961031870461E-2</v>
      </c>
      <c r="J651">
        <f t="shared" si="245"/>
        <v>-1.0524068936710585E-2</v>
      </c>
      <c r="K651">
        <f t="shared" si="245"/>
        <v>1.0514249808660378E-2</v>
      </c>
    </row>
    <row r="652" spans="1:11">
      <c r="A652" s="1">
        <v>45646</v>
      </c>
      <c r="B652">
        <f t="shared" ref="B652:K652" si="246">B247-B$399</f>
        <v>1.7493260050884308E-3</v>
      </c>
      <c r="C652">
        <f t="shared" si="246"/>
        <v>1.0880436085599029E-3</v>
      </c>
      <c r="D652">
        <f t="shared" si="246"/>
        <v>-1.94202854260371E-3</v>
      </c>
      <c r="E652">
        <f t="shared" si="246"/>
        <v>5.2133433048793826E-3</v>
      </c>
      <c r="F652">
        <f t="shared" si="246"/>
        <v>-1.6113092629191793E-3</v>
      </c>
      <c r="G652">
        <f t="shared" si="246"/>
        <v>2.6826010375571252E-2</v>
      </c>
      <c r="H652">
        <f t="shared" si="246"/>
        <v>8.9911128449787787E-3</v>
      </c>
      <c r="I652">
        <f t="shared" si="246"/>
        <v>-9.2446605463683083E-3</v>
      </c>
      <c r="J652">
        <f t="shared" si="246"/>
        <v>-3.6169237996156164E-2</v>
      </c>
      <c r="K652">
        <f t="shared" si="246"/>
        <v>2.0422206314440847E-2</v>
      </c>
    </row>
    <row r="653" spans="1:11">
      <c r="A653" s="1">
        <v>45649</v>
      </c>
      <c r="B653">
        <f t="shared" ref="B653:K653" si="247">B248-B$399</f>
        <v>1.9153291593220823E-3</v>
      </c>
      <c r="C653">
        <f t="shared" si="247"/>
        <v>-3.2309785401036287E-3</v>
      </c>
      <c r="D653">
        <f t="shared" si="247"/>
        <v>-4.0503224401342427E-3</v>
      </c>
      <c r="E653">
        <f t="shared" si="247"/>
        <v>8.2203985748709966E-5</v>
      </c>
      <c r="F653">
        <f t="shared" si="247"/>
        <v>-1.8755655504819489E-3</v>
      </c>
      <c r="G653">
        <f t="shared" si="247"/>
        <v>3.2960515090253384E-2</v>
      </c>
      <c r="H653">
        <f t="shared" si="247"/>
        <v>-9.5407205926966148E-3</v>
      </c>
      <c r="I653">
        <f t="shared" si="247"/>
        <v>-6.3690196178263301E-3</v>
      </c>
      <c r="J653">
        <f t="shared" si="247"/>
        <v>2.1130377169325931E-2</v>
      </c>
      <c r="K653">
        <f t="shared" si="247"/>
        <v>-1.0748418991025924E-2</v>
      </c>
    </row>
    <row r="654" spans="1:11">
      <c r="A654" s="1">
        <v>45650</v>
      </c>
      <c r="B654">
        <f t="shared" ref="B654:K654" si="248">B249-B$399</f>
        <v>9.2840372252153743E-3</v>
      </c>
      <c r="C654">
        <f t="shared" si="248"/>
        <v>6.8609731517781884E-3</v>
      </c>
      <c r="D654">
        <f t="shared" si="248"/>
        <v>8.4156905163428469E-3</v>
      </c>
      <c r="E654">
        <f t="shared" si="248"/>
        <v>2.0120189434602646E-2</v>
      </c>
      <c r="F654">
        <f t="shared" si="248"/>
        <v>8.5467721468813888E-4</v>
      </c>
      <c r="G654">
        <f t="shared" si="248"/>
        <v>1.710318271839692E-6</v>
      </c>
      <c r="H654">
        <f t="shared" si="248"/>
        <v>1.0323515604403812E-2</v>
      </c>
      <c r="I654">
        <f t="shared" si="248"/>
        <v>2.7903670796092118E-2</v>
      </c>
      <c r="J654">
        <f t="shared" si="248"/>
        <v>7.2044995525676406E-2</v>
      </c>
      <c r="K654">
        <f t="shared" si="248"/>
        <v>4.5449866040872386E-3</v>
      </c>
    </row>
    <row r="655" spans="1:11">
      <c r="A655" s="1">
        <v>45652</v>
      </c>
      <c r="B655">
        <f t="shared" ref="B655:K655" si="249">B250-B$399</f>
        <v>5.7973255138205667E-3</v>
      </c>
      <c r="C655">
        <f t="shared" si="249"/>
        <v>-4.8098620219856943E-3</v>
      </c>
      <c r="D655">
        <f t="shared" si="249"/>
        <v>-3.7351699719942867E-3</v>
      </c>
      <c r="E655">
        <f t="shared" si="249"/>
        <v>-1.1119050271304607E-2</v>
      </c>
      <c r="F655">
        <f t="shared" si="249"/>
        <v>2.4173167067006577E-3</v>
      </c>
      <c r="G655">
        <f t="shared" si="249"/>
        <v>-6.00450152490223E-3</v>
      </c>
      <c r="H655">
        <f t="shared" si="249"/>
        <v>-2.1447268403831355E-3</v>
      </c>
      <c r="I655">
        <f t="shared" si="249"/>
        <v>2.134405293380014E-2</v>
      </c>
      <c r="J655">
        <f t="shared" si="249"/>
        <v>-1.9156741387539356E-2</v>
      </c>
      <c r="K655">
        <f t="shared" si="249"/>
        <v>5.1188152284329788E-3</v>
      </c>
    </row>
    <row r="656" spans="1:11">
      <c r="A656" s="1">
        <v>45653</v>
      </c>
      <c r="B656">
        <f t="shared" ref="B656:K656" si="250">B251-B$399</f>
        <v>1.8831261030660186E-3</v>
      </c>
      <c r="C656">
        <f t="shared" si="250"/>
        <v>-2.4310250108581836E-3</v>
      </c>
      <c r="D656">
        <f t="shared" si="250"/>
        <v>-1.8259783827928353E-2</v>
      </c>
      <c r="E656">
        <f t="shared" si="250"/>
        <v>-2.0509795968120689E-2</v>
      </c>
      <c r="F656">
        <f t="shared" si="250"/>
        <v>-6.2946599952825467E-3</v>
      </c>
      <c r="G656">
        <f t="shared" si="250"/>
        <v>-2.4803915777025176E-2</v>
      </c>
      <c r="H656">
        <f t="shared" si="250"/>
        <v>3.2285208361598782E-3</v>
      </c>
      <c r="I656">
        <f t="shared" si="250"/>
        <v>3.9013631993850464E-3</v>
      </c>
      <c r="J656">
        <f t="shared" si="250"/>
        <v>-5.1005972923316809E-2</v>
      </c>
      <c r="K656">
        <f t="shared" si="250"/>
        <v>-5.6109574459886772E-3</v>
      </c>
    </row>
    <row r="657" spans="1:11">
      <c r="A657" s="1">
        <v>45656</v>
      </c>
      <c r="B657">
        <f t="shared" ref="B657:K657" si="251">B252-B$399</f>
        <v>-2.3076122080988908E-2</v>
      </c>
      <c r="C657">
        <f t="shared" si="251"/>
        <v>-7.2386173731798283E-3</v>
      </c>
      <c r="D657">
        <f t="shared" si="251"/>
        <v>-1.419775221049456E-2</v>
      </c>
      <c r="E657">
        <f t="shared" si="251"/>
        <v>-1.0403234216774413E-2</v>
      </c>
      <c r="F657">
        <f t="shared" si="251"/>
        <v>-2.2697449171361725E-2</v>
      </c>
      <c r="G657">
        <f t="shared" si="251"/>
        <v>-4.3277155830329268E-4</v>
      </c>
      <c r="H657">
        <f t="shared" si="251"/>
        <v>-7.3759529951742371E-3</v>
      </c>
      <c r="I657">
        <f t="shared" si="251"/>
        <v>-1.8447173975718833E-2</v>
      </c>
      <c r="J657">
        <f t="shared" si="251"/>
        <v>-3.4538839327356394E-2</v>
      </c>
      <c r="K657">
        <f t="shared" si="251"/>
        <v>-1.0409117110782698E-2</v>
      </c>
    </row>
    <row r="658" spans="1:11">
      <c r="A658" s="1">
        <v>45657</v>
      </c>
      <c r="B658">
        <f t="shared" ref="B658:K658" si="252">B253-B$399</f>
        <v>2.5470725076381429E-3</v>
      </c>
      <c r="C658">
        <f t="shared" si="252"/>
        <v>3.1946300560251003E-3</v>
      </c>
      <c r="D658">
        <f t="shared" si="252"/>
        <v>-8.7965955718575101E-3</v>
      </c>
      <c r="E658">
        <f t="shared" si="252"/>
        <v>-1.2675313884651094E-2</v>
      </c>
      <c r="F658">
        <f t="shared" si="252"/>
        <v>1.4127560899820936E-2</v>
      </c>
      <c r="G658">
        <f t="shared" si="252"/>
        <v>-2.7210636476478089E-2</v>
      </c>
      <c r="H658">
        <f t="shared" si="252"/>
        <v>2.5176353723496158E-3</v>
      </c>
      <c r="I658">
        <f t="shared" si="252"/>
        <v>7.0524737857199284E-3</v>
      </c>
      <c r="J658">
        <f t="shared" si="252"/>
        <v>-3.403676617432054E-2</v>
      </c>
      <c r="K658">
        <f t="shared" si="252"/>
        <v>2.1139674629442741E-3</v>
      </c>
    </row>
    <row r="659" spans="1:11">
      <c r="A659" s="1">
        <v>45659</v>
      </c>
      <c r="B659">
        <f t="shared" ref="B659:K659" si="253">B254-B$399</f>
        <v>-2.8984841612907424E-2</v>
      </c>
      <c r="C659">
        <f t="shared" si="253"/>
        <v>-7.2590177936144359E-3</v>
      </c>
      <c r="D659">
        <f t="shared" si="253"/>
        <v>-7.8858357744488877E-3</v>
      </c>
      <c r="E659">
        <f t="shared" si="253"/>
        <v>-7.7076374638155847E-3</v>
      </c>
      <c r="F659">
        <f t="shared" si="253"/>
        <v>-2.596665494961968E-2</v>
      </c>
      <c r="G659">
        <f t="shared" si="253"/>
        <v>2.5998937525306409E-2</v>
      </c>
      <c r="H659">
        <f t="shared" si="253"/>
        <v>-1.1889694754694811E-2</v>
      </c>
      <c r="I659">
        <f t="shared" si="253"/>
        <v>9.7379509747691408E-3</v>
      </c>
      <c r="J659">
        <f t="shared" si="253"/>
        <v>-6.2342906080334368E-2</v>
      </c>
      <c r="K659">
        <f t="shared" si="253"/>
        <v>-1.3377451152486189E-2</v>
      </c>
    </row>
    <row r="660" spans="1:11">
      <c r="A660" s="1">
        <v>45660</v>
      </c>
      <c r="B660">
        <f t="shared" ref="B660:K660" si="254">B255-B$399</f>
        <v>-1.1463922233282237E-2</v>
      </c>
      <c r="C660">
        <f t="shared" si="254"/>
        <v>-1.9685787193197183E-3</v>
      </c>
      <c r="D660">
        <f t="shared" si="254"/>
        <v>1.0437487127877856E-2</v>
      </c>
      <c r="E660">
        <f t="shared" si="254"/>
        <v>-8.9634910907843684E-3</v>
      </c>
      <c r="F660">
        <f t="shared" si="254"/>
        <v>-4.4227176665085789E-3</v>
      </c>
      <c r="G660">
        <f t="shared" si="254"/>
        <v>4.060142290398433E-2</v>
      </c>
      <c r="H660">
        <f t="shared" si="254"/>
        <v>-3.4515591212811426E-3</v>
      </c>
      <c r="I660">
        <f t="shared" si="254"/>
        <v>4.1040686340464341E-3</v>
      </c>
      <c r="J660">
        <f t="shared" si="254"/>
        <v>8.0628926525433256E-2</v>
      </c>
      <c r="K660">
        <f t="shared" si="254"/>
        <v>-1.4469178261890679E-3</v>
      </c>
    </row>
    <row r="661" spans="1:11">
      <c r="A661" s="1">
        <v>45663</v>
      </c>
      <c r="B661">
        <f t="shared" ref="B661:K661" si="255">B256-B$399</f>
        <v>5.1777831096190882E-3</v>
      </c>
      <c r="C661">
        <f t="shared" si="255"/>
        <v>-1.5735846960238057E-2</v>
      </c>
      <c r="D661">
        <f t="shared" si="255"/>
        <v>9.6712804187331219E-3</v>
      </c>
      <c r="E661">
        <f t="shared" si="255"/>
        <v>-1.7180458549350109E-3</v>
      </c>
      <c r="F661">
        <f t="shared" si="255"/>
        <v>-1.7405441661583074E-2</v>
      </c>
      <c r="G661">
        <f t="shared" si="255"/>
        <v>3.0396016131956027E-2</v>
      </c>
      <c r="H661">
        <f t="shared" si="255"/>
        <v>-2.2309420116342623E-2</v>
      </c>
      <c r="I661">
        <f t="shared" si="255"/>
        <v>5.5964544651295658E-3</v>
      </c>
      <c r="J661">
        <f t="shared" si="255"/>
        <v>-4.0572533945338468E-5</v>
      </c>
      <c r="K661">
        <f t="shared" si="255"/>
        <v>-8.566521274284658E-3</v>
      </c>
    </row>
    <row r="662" spans="1:11">
      <c r="A662" s="1">
        <v>45664</v>
      </c>
      <c r="B662">
        <f t="shared" ref="B662:K662" si="256">B257-B$399</f>
        <v>1.0128203678452191E-2</v>
      </c>
      <c r="C662">
        <f t="shared" si="256"/>
        <v>-1.9894878039610538E-5</v>
      </c>
      <c r="D662">
        <f t="shared" si="256"/>
        <v>-1.3766437783950577E-2</v>
      </c>
      <c r="E662">
        <f t="shared" si="256"/>
        <v>-5.5064619384531093E-3</v>
      </c>
      <c r="F662">
        <f t="shared" si="256"/>
        <v>1.7138388063101652E-3</v>
      </c>
      <c r="G662">
        <f t="shared" si="256"/>
        <v>-6.6105820180560049E-2</v>
      </c>
      <c r="H662">
        <f t="shared" si="256"/>
        <v>-5.6713993224710687E-3</v>
      </c>
      <c r="I662">
        <f t="shared" si="256"/>
        <v>-3.4581454156282863E-3</v>
      </c>
      <c r="J662">
        <f t="shared" si="256"/>
        <v>-4.2130086829679933E-2</v>
      </c>
      <c r="K662">
        <f t="shared" si="256"/>
        <v>7.0916678658668316E-3</v>
      </c>
    </row>
    <row r="663" spans="1:11">
      <c r="A663" s="1">
        <v>45665</v>
      </c>
      <c r="B663">
        <f t="shared" ref="B663:K663" si="257">B258-B$399</f>
        <v>-4.3493373710516373E-3</v>
      </c>
      <c r="C663">
        <f t="shared" si="257"/>
        <v>1.3786651194806649E-2</v>
      </c>
      <c r="D663">
        <f t="shared" si="257"/>
        <v>4.2268180172093809E-3</v>
      </c>
      <c r="E663">
        <f t="shared" si="257"/>
        <v>-7.3236947682585023E-3</v>
      </c>
      <c r="F663">
        <f t="shared" si="257"/>
        <v>-1.0633253866728297E-2</v>
      </c>
      <c r="G663">
        <f t="shared" si="257"/>
        <v>-4.1502433169992598E-3</v>
      </c>
      <c r="H663">
        <f t="shared" si="257"/>
        <v>8.1170804053442031E-3</v>
      </c>
      <c r="I663">
        <f t="shared" si="257"/>
        <v>-2.9293656239516384E-3</v>
      </c>
      <c r="J663">
        <f t="shared" si="257"/>
        <v>-5.5965968992422593E-5</v>
      </c>
      <c r="K663">
        <f t="shared" si="257"/>
        <v>1.596317591578704E-2</v>
      </c>
    </row>
    <row r="664" spans="1:11">
      <c r="A664" s="1">
        <v>45667</v>
      </c>
      <c r="B664">
        <f t="shared" ref="B664:K664" si="258">B259-B$399</f>
        <v>1.3955674035094957E-3</v>
      </c>
      <c r="C664">
        <f t="shared" si="258"/>
        <v>-1.0884325545427126E-2</v>
      </c>
      <c r="D664">
        <f t="shared" si="258"/>
        <v>-1.417185297311295E-2</v>
      </c>
      <c r="E664">
        <f t="shared" si="258"/>
        <v>-4.5197938921549941E-2</v>
      </c>
      <c r="F664">
        <f t="shared" si="258"/>
        <v>-7.9859172738182423E-4</v>
      </c>
      <c r="G664">
        <f t="shared" si="258"/>
        <v>-3.3912617254554911E-2</v>
      </c>
      <c r="H664">
        <f t="shared" si="258"/>
        <v>-2.6337340468753797E-2</v>
      </c>
      <c r="I664">
        <f t="shared" si="258"/>
        <v>-4.1239004744830863E-3</v>
      </c>
      <c r="J664">
        <f t="shared" si="258"/>
        <v>-2.0331836983691794E-3</v>
      </c>
      <c r="K664">
        <f t="shared" si="258"/>
        <v>-4.6185748515355654E-3</v>
      </c>
    </row>
    <row r="665" spans="1:11">
      <c r="A665" s="1">
        <v>45670</v>
      </c>
      <c r="B665">
        <f t="shared" ref="B665:K665" si="259">B260-B$399</f>
        <v>-8.3156740846447811E-3</v>
      </c>
      <c r="C665">
        <f t="shared" si="259"/>
        <v>8.9841524810690358E-3</v>
      </c>
      <c r="D665">
        <f t="shared" si="259"/>
        <v>-5.1591968549294783E-3</v>
      </c>
      <c r="E665">
        <f t="shared" si="259"/>
        <v>5.4580260700471056E-4</v>
      </c>
      <c r="F665">
        <f t="shared" si="259"/>
        <v>1.2823575516655595E-2</v>
      </c>
      <c r="G665">
        <f t="shared" si="259"/>
        <v>-2.3655281959176044E-2</v>
      </c>
      <c r="H665">
        <f t="shared" si="259"/>
        <v>1.3316490044270048E-2</v>
      </c>
      <c r="I665">
        <f t="shared" si="259"/>
        <v>1.3314290764421801E-2</v>
      </c>
      <c r="J665">
        <f t="shared" si="259"/>
        <v>2.0183765317795931E-2</v>
      </c>
      <c r="K665">
        <f t="shared" si="259"/>
        <v>-6.0082801848044412E-3</v>
      </c>
    </row>
    <row r="666" spans="1:11">
      <c r="A666" s="1">
        <v>45671</v>
      </c>
      <c r="B666">
        <f t="shared" ref="B666:K666" si="260">B261-B$399</f>
        <v>-2.0814349796289648E-2</v>
      </c>
      <c r="C666">
        <f t="shared" si="260"/>
        <v>5.812789792842216E-3</v>
      </c>
      <c r="D666">
        <f t="shared" si="260"/>
        <v>-4.6015834722373658E-3</v>
      </c>
      <c r="E666">
        <f t="shared" si="260"/>
        <v>-1.6707763706741926E-2</v>
      </c>
      <c r="F666">
        <f t="shared" si="260"/>
        <v>-1.2161129719809748E-2</v>
      </c>
      <c r="G666">
        <f t="shared" si="260"/>
        <v>-1.496987780755338E-2</v>
      </c>
      <c r="H666">
        <f t="shared" si="260"/>
        <v>3.3907238796112593E-3</v>
      </c>
      <c r="I666">
        <f t="shared" si="260"/>
        <v>-5.0496829621876713E-3</v>
      </c>
      <c r="J666">
        <f t="shared" si="260"/>
        <v>-1.8759179002489846E-2</v>
      </c>
      <c r="K666">
        <f t="shared" si="260"/>
        <v>5.6578641062865883E-3</v>
      </c>
    </row>
    <row r="667" spans="1:11">
      <c r="A667" s="1">
        <v>45672</v>
      </c>
      <c r="B667">
        <f t="shared" ref="B667:K667" si="261">B262-B$399</f>
        <v>-4.9113985713544143E-3</v>
      </c>
      <c r="C667">
        <f t="shared" si="261"/>
        <v>-4.865267323610872E-3</v>
      </c>
      <c r="D667">
        <f t="shared" si="261"/>
        <v>2.4638934411744598E-2</v>
      </c>
      <c r="E667">
        <f t="shared" si="261"/>
        <v>2.1415965538709451E-2</v>
      </c>
      <c r="F667">
        <f t="shared" si="261"/>
        <v>-9.4106543834347896E-4</v>
      </c>
      <c r="G667">
        <f t="shared" si="261"/>
        <v>3.0065090491731838E-2</v>
      </c>
      <c r="H667">
        <f t="shared" si="261"/>
        <v>-8.9616462809349645E-4</v>
      </c>
      <c r="I667">
        <f t="shared" si="261"/>
        <v>-2.3676702150566593E-4</v>
      </c>
      <c r="J667">
        <f t="shared" si="261"/>
        <v>7.885476764096018E-2</v>
      </c>
      <c r="K667">
        <f t="shared" si="261"/>
        <v>-3.5217696442320422E-4</v>
      </c>
    </row>
    <row r="668" spans="1:11">
      <c r="A668" s="1">
        <v>45673</v>
      </c>
      <c r="B668">
        <f t="shared" ref="B668:K668" si="262">B263-B$399</f>
        <v>1.6424204195716059E-2</v>
      </c>
      <c r="C668">
        <f t="shared" si="262"/>
        <v>7.2576574830485688E-3</v>
      </c>
      <c r="D668">
        <f t="shared" si="262"/>
        <v>-5.0163177711592807E-3</v>
      </c>
      <c r="E668">
        <f t="shared" si="262"/>
        <v>-9.501584675712103E-3</v>
      </c>
      <c r="F668">
        <f t="shared" si="262"/>
        <v>1.0267229987984806E-3</v>
      </c>
      <c r="G668">
        <f t="shared" si="262"/>
        <v>-2.3534036051611473E-2</v>
      </c>
      <c r="H668">
        <f t="shared" si="262"/>
        <v>1.2432898075106837E-2</v>
      </c>
      <c r="I668">
        <f t="shared" si="262"/>
        <v>1.41594252181546E-2</v>
      </c>
      <c r="J668">
        <f t="shared" si="262"/>
        <v>-3.5154307018667216E-2</v>
      </c>
      <c r="K668">
        <f t="shared" si="262"/>
        <v>2.7284475784290094E-2</v>
      </c>
    </row>
    <row r="669" spans="1:11">
      <c r="A669" s="1">
        <v>45674</v>
      </c>
      <c r="B669">
        <f t="shared" ref="B669:K669" si="263">B264-B$399</f>
        <v>1.2784620268405161E-2</v>
      </c>
      <c r="C669">
        <f t="shared" si="263"/>
        <v>6.8763107378631508E-3</v>
      </c>
      <c r="D669">
        <f t="shared" si="263"/>
        <v>9.5228057165024499E-3</v>
      </c>
      <c r="E669">
        <f t="shared" si="263"/>
        <v>1.6115539727460219E-2</v>
      </c>
      <c r="F669">
        <f t="shared" si="263"/>
        <v>-3.3330576199815816E-3</v>
      </c>
      <c r="G669">
        <f t="shared" si="263"/>
        <v>2.705869960190882E-2</v>
      </c>
      <c r="H669">
        <f t="shared" si="263"/>
        <v>1.1945781313373984E-2</v>
      </c>
      <c r="I669">
        <f t="shared" si="263"/>
        <v>7.0686315168987292E-3</v>
      </c>
      <c r="J669">
        <f t="shared" si="263"/>
        <v>2.9114576648192236E-2</v>
      </c>
      <c r="K669">
        <f t="shared" si="263"/>
        <v>-5.2669421001193132E-3</v>
      </c>
    </row>
    <row r="670" spans="1:11">
      <c r="A670" s="1">
        <v>45678</v>
      </c>
      <c r="B670">
        <f t="shared" ref="B670:K670" si="264">B265-B$399</f>
        <v>2.6124844550221744E-2</v>
      </c>
      <c r="C670">
        <f t="shared" si="264"/>
        <v>-5.1377143692375501E-3</v>
      </c>
      <c r="D670">
        <f t="shared" si="264"/>
        <v>-2.1935111254200858E-3</v>
      </c>
      <c r="E670">
        <f t="shared" si="264"/>
        <v>1.0937009248894793E-2</v>
      </c>
      <c r="F670">
        <f t="shared" si="264"/>
        <v>3.3354945480689305E-2</v>
      </c>
      <c r="G670">
        <f t="shared" si="264"/>
        <v>1.8720016585365762E-2</v>
      </c>
      <c r="H670">
        <f t="shared" si="264"/>
        <v>2.3000933843778681E-3</v>
      </c>
      <c r="I670">
        <f t="shared" si="264"/>
        <v>2.9614801635478572E-2</v>
      </c>
      <c r="J670">
        <f t="shared" si="264"/>
        <v>-7.2242676845453609E-3</v>
      </c>
      <c r="K670">
        <f t="shared" si="264"/>
        <v>5.0349846252526883E-3</v>
      </c>
    </row>
    <row r="671" spans="1:11">
      <c r="A671" s="1">
        <v>45679</v>
      </c>
      <c r="B671">
        <f t="shared" ref="B671:K671" si="265">B266-B$399</f>
        <v>-4.3307362787578466E-3</v>
      </c>
      <c r="C671">
        <f t="shared" si="265"/>
        <v>-1.0766297445432288E-2</v>
      </c>
      <c r="D671">
        <f t="shared" si="265"/>
        <v>4.0348660607288936E-2</v>
      </c>
      <c r="E671">
        <f t="shared" si="265"/>
        <v>9.4385759728607133E-2</v>
      </c>
      <c r="F671">
        <f t="shared" si="265"/>
        <v>1.235408812753448E-2</v>
      </c>
      <c r="G671">
        <f t="shared" si="265"/>
        <v>4.0372635294301407E-2</v>
      </c>
      <c r="H671">
        <f t="shared" si="265"/>
        <v>-2.8199058097440033E-3</v>
      </c>
      <c r="I671">
        <f t="shared" si="265"/>
        <v>-2.8957709427303111E-3</v>
      </c>
      <c r="J671">
        <f t="shared" si="265"/>
        <v>-2.265538546693573E-2</v>
      </c>
      <c r="K671">
        <f t="shared" si="265"/>
        <v>-6.346921216327365E-3</v>
      </c>
    </row>
    <row r="672" spans="1:11">
      <c r="A672" s="1">
        <v>45680</v>
      </c>
      <c r="B672">
        <f t="shared" ref="B672:K672" si="266">B267-B$399</f>
        <v>2.116526704787431E-2</v>
      </c>
      <c r="C672">
        <f t="shared" si="266"/>
        <v>-4.55983683432532E-3</v>
      </c>
      <c r="D672">
        <f t="shared" si="266"/>
        <v>1.8473504024242636E-4</v>
      </c>
      <c r="E672">
        <f t="shared" si="266"/>
        <v>2.980088325833569E-2</v>
      </c>
      <c r="F672">
        <f t="shared" si="266"/>
        <v>3.8404812170255279E-3</v>
      </c>
      <c r="G672">
        <f t="shared" si="266"/>
        <v>-2.9164167478673026E-3</v>
      </c>
      <c r="H672">
        <f t="shared" si="266"/>
        <v>3.855387630865239E-3</v>
      </c>
      <c r="I672">
        <f t="shared" si="266"/>
        <v>2.3159956408390549E-3</v>
      </c>
      <c r="J672">
        <f t="shared" si="266"/>
        <v>-8.1032700036258072E-3</v>
      </c>
      <c r="K672">
        <f t="shared" si="266"/>
        <v>-5.9111789544019225E-3</v>
      </c>
    </row>
    <row r="673" spans="1:11">
      <c r="A673" s="1">
        <v>45681</v>
      </c>
      <c r="B673">
        <f t="shared" ref="B673:K673" si="267">B268-B$399</f>
        <v>-1.3671244643400466E-2</v>
      </c>
      <c r="C673">
        <f t="shared" si="267"/>
        <v>5.8251907053768429E-3</v>
      </c>
      <c r="D673">
        <f t="shared" si="267"/>
        <v>-6.890421297687451E-3</v>
      </c>
      <c r="E673">
        <f t="shared" si="267"/>
        <v>-9.9396595236251311E-3</v>
      </c>
      <c r="F673">
        <f t="shared" si="267"/>
        <v>-9.2278755094283727E-3</v>
      </c>
      <c r="G673">
        <f t="shared" si="267"/>
        <v>-3.5182117915667888E-2</v>
      </c>
      <c r="H673">
        <f t="shared" si="267"/>
        <v>3.6409461488279304E-3</v>
      </c>
      <c r="I673">
        <f t="shared" si="267"/>
        <v>8.0239845118191735E-3</v>
      </c>
      <c r="J673">
        <f t="shared" si="267"/>
        <v>-1.55914886011576E-2</v>
      </c>
      <c r="K673">
        <f t="shared" si="267"/>
        <v>9.8608867812251394E-3</v>
      </c>
    </row>
    <row r="674" spans="1:11">
      <c r="A674" s="1">
        <v>45684</v>
      </c>
      <c r="B674">
        <f t="shared" ref="B674:K674" si="268">B269-B$399</f>
        <v>-5.1136222551830205E-3</v>
      </c>
      <c r="C674">
        <f t="shared" si="268"/>
        <v>3.0979067767062104E-2</v>
      </c>
      <c r="D674">
        <f t="shared" si="268"/>
        <v>-2.2351725750294191E-2</v>
      </c>
      <c r="E674">
        <f t="shared" si="268"/>
        <v>-8.3886192457101588E-3</v>
      </c>
      <c r="F674">
        <f t="shared" si="268"/>
        <v>2.778476746918547E-2</v>
      </c>
      <c r="G674">
        <f t="shared" si="268"/>
        <v>-0.17361786250580752</v>
      </c>
      <c r="H674">
        <f t="shared" si="268"/>
        <v>3.7092610384260039E-2</v>
      </c>
      <c r="I674">
        <f t="shared" si="268"/>
        <v>1.1901451407837596E-2</v>
      </c>
      <c r="J674">
        <f t="shared" si="268"/>
        <v>-2.4720196968621867E-2</v>
      </c>
      <c r="K674">
        <f t="shared" si="268"/>
        <v>2.1227901622736842E-2</v>
      </c>
    </row>
    <row r="675" spans="1:11">
      <c r="A675" s="1">
        <v>45685</v>
      </c>
      <c r="B675">
        <f t="shared" ref="B675:K675" si="269">B270-B$399</f>
        <v>1.4955961543661805E-2</v>
      </c>
      <c r="C675">
        <f t="shared" si="269"/>
        <v>-2.4154928697480652E-2</v>
      </c>
      <c r="D675">
        <f t="shared" si="269"/>
        <v>2.8128744690716592E-2</v>
      </c>
      <c r="E675">
        <f t="shared" si="269"/>
        <v>-2.6196745803551114E-3</v>
      </c>
      <c r="F675">
        <f t="shared" si="269"/>
        <v>-1.5281036727726948E-2</v>
      </c>
      <c r="G675">
        <f t="shared" si="269"/>
        <v>8.5322417907126524E-2</v>
      </c>
      <c r="H675">
        <f t="shared" si="269"/>
        <v>-2.7923428001361047E-2</v>
      </c>
      <c r="I675">
        <f t="shared" si="269"/>
        <v>3.5550676326881938E-3</v>
      </c>
      <c r="J675">
        <f t="shared" si="269"/>
        <v>8.401233324460515E-4</v>
      </c>
      <c r="K675">
        <f t="shared" si="269"/>
        <v>-1.0932744735149783E-2</v>
      </c>
    </row>
    <row r="676" spans="1:11">
      <c r="A676" s="1">
        <v>45686</v>
      </c>
      <c r="B676">
        <f t="shared" ref="B676:K676" si="270">B271-B$399</f>
        <v>-2.3176446188702786E-2</v>
      </c>
      <c r="C676">
        <f t="shared" si="270"/>
        <v>7.0237058614806506E-3</v>
      </c>
      <c r="D676">
        <f t="shared" si="270"/>
        <v>-1.1848255366556967E-2</v>
      </c>
      <c r="E676">
        <f t="shared" si="270"/>
        <v>3.9452607136756818E-3</v>
      </c>
      <c r="F676">
        <f t="shared" si="270"/>
        <v>2.9903377595424177E-2</v>
      </c>
      <c r="G676">
        <f t="shared" si="270"/>
        <v>-4.4947302230807618E-2</v>
      </c>
      <c r="H676">
        <f t="shared" si="270"/>
        <v>1.0751741062927666E-3</v>
      </c>
      <c r="I676">
        <f t="shared" si="270"/>
        <v>8.1022145177451418E-2</v>
      </c>
      <c r="J676">
        <f t="shared" si="270"/>
        <v>-2.4109555460820987E-2</v>
      </c>
      <c r="K676">
        <f t="shared" si="270"/>
        <v>-5.3956880858018899E-3</v>
      </c>
    </row>
    <row r="677" spans="1:11">
      <c r="A677" s="1">
        <v>45687</v>
      </c>
      <c r="B677">
        <f t="shared" ref="B677:K677" si="271">B272-B$399</f>
        <v>3.3799889437681148E-2</v>
      </c>
      <c r="C677">
        <f t="shared" si="271"/>
        <v>1.8904304016466752E-2</v>
      </c>
      <c r="D677">
        <f t="shared" si="271"/>
        <v>-6.2767263941872584E-2</v>
      </c>
      <c r="E677">
        <f t="shared" si="271"/>
        <v>-7.5776565378136689E-3</v>
      </c>
      <c r="F677">
        <f t="shared" si="271"/>
        <v>2.3315898419270412E-2</v>
      </c>
      <c r="G677">
        <f t="shared" si="271"/>
        <v>3.743597515466433E-3</v>
      </c>
      <c r="H677">
        <f t="shared" si="271"/>
        <v>1.0451533688961791E-2</v>
      </c>
      <c r="I677">
        <f t="shared" si="271"/>
        <v>3.5238415805148773E-3</v>
      </c>
      <c r="J677">
        <f t="shared" si="271"/>
        <v>2.7206207497887668E-2</v>
      </c>
      <c r="K677">
        <f t="shared" si="271"/>
        <v>1.5596682642035106E-2</v>
      </c>
    </row>
    <row r="678" spans="1:11">
      <c r="A678" s="1">
        <v>45688</v>
      </c>
      <c r="B678">
        <f t="shared" ref="B678:K678" si="272">B273-B$399</f>
        <v>-1.6767732806865658E-2</v>
      </c>
      <c r="C678">
        <f t="shared" si="272"/>
        <v>-9.4125342716546209E-3</v>
      </c>
      <c r="D678">
        <f t="shared" si="272"/>
        <v>-7.8952317543999563E-4</v>
      </c>
      <c r="E678">
        <f t="shared" si="272"/>
        <v>1.0588635640212418E-3</v>
      </c>
      <c r="F678">
        <f t="shared" si="272"/>
        <v>-1.7792299215589433E-2</v>
      </c>
      <c r="G678">
        <f t="shared" si="272"/>
        <v>-4.0679083378153125E-2</v>
      </c>
      <c r="H678">
        <f t="shared" si="272"/>
        <v>-7.6891321556419286E-3</v>
      </c>
      <c r="I678">
        <f t="shared" si="272"/>
        <v>-1.2454335368892963E-2</v>
      </c>
      <c r="J678">
        <f t="shared" si="272"/>
        <v>9.2657168623813783E-3</v>
      </c>
      <c r="K678">
        <f t="shared" si="272"/>
        <v>-1.4916736213915348E-3</v>
      </c>
    </row>
    <row r="679" spans="1:11">
      <c r="A679" s="1">
        <v>45691</v>
      </c>
      <c r="B679">
        <f t="shared" ref="B679:K679" si="273">B274-B$399</f>
        <v>-3.6841172438591362E-3</v>
      </c>
      <c r="C679">
        <f t="shared" si="273"/>
        <v>-2.5611315858901688E-3</v>
      </c>
      <c r="D679">
        <f t="shared" si="273"/>
        <v>-1.0932595227717043E-2</v>
      </c>
      <c r="E679">
        <f t="shared" si="273"/>
        <v>-3.2608060563726676E-4</v>
      </c>
      <c r="F679">
        <f t="shared" si="273"/>
        <v>-3.567326873598274E-3</v>
      </c>
      <c r="G679">
        <f t="shared" si="273"/>
        <v>-3.2336330339426012E-2</v>
      </c>
      <c r="H679">
        <f t="shared" si="273"/>
        <v>-2.5105127620650403E-3</v>
      </c>
      <c r="I679">
        <f t="shared" si="273"/>
        <v>4.1134363841824808E-3</v>
      </c>
      <c r="J679">
        <f t="shared" si="273"/>
        <v>-5.3232167201821376E-2</v>
      </c>
      <c r="K679">
        <f t="shared" si="273"/>
        <v>2.6343309569394758E-3</v>
      </c>
    </row>
    <row r="680" spans="1:11">
      <c r="A680" s="1">
        <v>45692</v>
      </c>
      <c r="B680">
        <f t="shared" ref="B680:K680" si="274">B275-B$399</f>
        <v>2.0452068577220873E-3</v>
      </c>
      <c r="C680">
        <f t="shared" si="274"/>
        <v>-1.1247223730434136E-2</v>
      </c>
      <c r="D680">
        <f t="shared" si="274"/>
        <v>2.5704167635116769E-3</v>
      </c>
      <c r="E680">
        <f t="shared" si="274"/>
        <v>1.3714753893776356E-2</v>
      </c>
      <c r="F680">
        <f t="shared" si="274"/>
        <v>2.161288924561812E-3</v>
      </c>
      <c r="G680">
        <f t="shared" si="274"/>
        <v>1.312185054734155E-2</v>
      </c>
      <c r="H680">
        <f t="shared" si="274"/>
        <v>-4.4842231196372984E-2</v>
      </c>
      <c r="I680">
        <f t="shared" si="274"/>
        <v>2.2214875011940739E-2</v>
      </c>
      <c r="J680">
        <f t="shared" si="274"/>
        <v>2.0705318876587619E-2</v>
      </c>
      <c r="K680">
        <f t="shared" si="274"/>
        <v>-3.2033762995311868E-2</v>
      </c>
    </row>
    <row r="681" spans="1:11">
      <c r="A681" s="1">
        <v>45693</v>
      </c>
      <c r="B681">
        <f t="shared" ref="B681:K681" si="275">B276-B$399</f>
        <v>3.1831640590899109E-2</v>
      </c>
      <c r="C681">
        <f t="shared" si="275"/>
        <v>6.6672760196664852E-3</v>
      </c>
      <c r="D681">
        <f t="shared" si="275"/>
        <v>1.2727948754634043E-3</v>
      </c>
      <c r="E681">
        <f t="shared" si="275"/>
        <v>1.3765789342659542E-2</v>
      </c>
      <c r="F681">
        <f t="shared" si="275"/>
        <v>-2.7560118635345784E-2</v>
      </c>
      <c r="G681">
        <f t="shared" si="275"/>
        <v>4.8149697326880625E-2</v>
      </c>
      <c r="H681">
        <f t="shared" si="275"/>
        <v>1.5399505528328807E-2</v>
      </c>
      <c r="I681">
        <f t="shared" si="275"/>
        <v>1.4574328545803197E-2</v>
      </c>
      <c r="J681">
        <f t="shared" si="275"/>
        <v>-3.7323841000028765E-2</v>
      </c>
      <c r="K681">
        <f t="shared" si="275"/>
        <v>3.5809081127550991E-4</v>
      </c>
    </row>
    <row r="682" spans="1:11">
      <c r="A682" s="1">
        <v>45694</v>
      </c>
      <c r="B682">
        <f t="shared" ref="B682:K682" si="276">B277-B$399</f>
        <v>1.6276320705133469E-2</v>
      </c>
      <c r="C682">
        <f t="shared" si="276"/>
        <v>3.2890987609402408E-3</v>
      </c>
      <c r="D682">
        <f t="shared" si="276"/>
        <v>5.1634408680609903E-3</v>
      </c>
      <c r="E682">
        <f t="shared" si="276"/>
        <v>1.9618507840713528E-3</v>
      </c>
      <c r="F682">
        <f t="shared" si="276"/>
        <v>-3.7486986719107537E-2</v>
      </c>
      <c r="G682">
        <f t="shared" si="276"/>
        <v>2.6905521995874426E-2</v>
      </c>
      <c r="H682">
        <f t="shared" si="276"/>
        <v>-1.8515989784512166E-3</v>
      </c>
      <c r="I682">
        <f t="shared" si="276"/>
        <v>-5.2440146090703219E-3</v>
      </c>
      <c r="J682">
        <f t="shared" si="276"/>
        <v>-1.170736914018804E-2</v>
      </c>
      <c r="K682">
        <f t="shared" si="276"/>
        <v>1.8819586484841319E-2</v>
      </c>
    </row>
    <row r="683" spans="1:11">
      <c r="A683" s="1">
        <v>45695</v>
      </c>
      <c r="B683">
        <f t="shared" ref="B683:K683" si="277">B278-B$399</f>
        <v>-1.7913005083330762E-2</v>
      </c>
      <c r="C683">
        <f t="shared" si="277"/>
        <v>7.062588974043044E-3</v>
      </c>
      <c r="D683">
        <f t="shared" si="277"/>
        <v>-1.5555867378124408E-2</v>
      </c>
      <c r="E683">
        <f t="shared" si="277"/>
        <v>-4.2809253410401298E-3</v>
      </c>
      <c r="F683">
        <f t="shared" si="277"/>
        <v>-4.219012345144367E-2</v>
      </c>
      <c r="G683">
        <f t="shared" si="277"/>
        <v>5.0784171069912492E-3</v>
      </c>
      <c r="H683">
        <f t="shared" si="277"/>
        <v>-5.0209092544309915E-3</v>
      </c>
      <c r="I683">
        <f t="shared" si="277"/>
        <v>4.1319852187578967E-3</v>
      </c>
      <c r="J683">
        <f t="shared" si="277"/>
        <v>-3.5454968488064217E-2</v>
      </c>
      <c r="K683">
        <f t="shared" si="277"/>
        <v>-4.1293450201492369E-3</v>
      </c>
    </row>
    <row r="684" spans="1:11">
      <c r="A684" s="1">
        <v>45698</v>
      </c>
      <c r="B684">
        <f t="shared" ref="B684:K684" si="278">B279-B$399</f>
        <v>-5.18112519863872E-3</v>
      </c>
      <c r="C684">
        <f t="shared" si="278"/>
        <v>1.0608329982276172E-2</v>
      </c>
      <c r="D684">
        <f t="shared" si="278"/>
        <v>5.0697889311659564E-3</v>
      </c>
      <c r="E684">
        <f t="shared" si="278"/>
        <v>1.0924234581404737E-2</v>
      </c>
      <c r="F684">
        <f t="shared" si="278"/>
        <v>3.3370107017995823E-2</v>
      </c>
      <c r="G684">
        <f t="shared" si="278"/>
        <v>2.4791550999693823E-2</v>
      </c>
      <c r="H684">
        <f t="shared" si="278"/>
        <v>-1.3142259694999248E-3</v>
      </c>
      <c r="I684">
        <f t="shared" si="278"/>
        <v>-7.0287554321385535E-3</v>
      </c>
      <c r="J684">
        <f t="shared" si="278"/>
        <v>-3.1641188098038217E-2</v>
      </c>
      <c r="K684">
        <f t="shared" si="278"/>
        <v>-2.5758597405912275E-3</v>
      </c>
    </row>
    <row r="685" spans="1:11">
      <c r="A685" s="1">
        <v>45699</v>
      </c>
      <c r="B685">
        <f t="shared" ref="B685:K685" si="279">B280-B$399</f>
        <v>-6.1101606451690596E-4</v>
      </c>
      <c r="C685">
        <f t="shared" si="279"/>
        <v>4.6737000441669001E-2</v>
      </c>
      <c r="D685">
        <f t="shared" si="279"/>
        <v>-2.850386175837757E-3</v>
      </c>
      <c r="E685">
        <f t="shared" si="279"/>
        <v>-2.1553619952144606E-2</v>
      </c>
      <c r="F685">
        <f t="shared" si="279"/>
        <v>6.1024267815307353E-3</v>
      </c>
      <c r="G685">
        <f t="shared" si="279"/>
        <v>-9.7009563075384792E-3</v>
      </c>
      <c r="H685">
        <f t="shared" si="279"/>
        <v>9.2130913223317252E-3</v>
      </c>
      <c r="I685">
        <f t="shared" si="279"/>
        <v>-4.1127368099361881E-3</v>
      </c>
      <c r="J685">
        <f t="shared" si="279"/>
        <v>-6.4908864881597458E-2</v>
      </c>
      <c r="K685">
        <f t="shared" si="279"/>
        <v>-1.9000819672074856E-2</v>
      </c>
    </row>
    <row r="686" spans="1:11">
      <c r="A686" s="1">
        <v>45700</v>
      </c>
      <c r="B686">
        <f t="shared" ref="B686:K686" si="280">B281-B$399</f>
        <v>3.219729179769399E-2</v>
      </c>
      <c r="C686">
        <f t="shared" si="280"/>
        <v>1.590686096009258E-2</v>
      </c>
      <c r="D686">
        <f t="shared" si="280"/>
        <v>-6.7913751728997237E-3</v>
      </c>
      <c r="E686">
        <f t="shared" si="280"/>
        <v>1.651796613080975E-2</v>
      </c>
      <c r="F686">
        <f t="shared" si="280"/>
        <v>1.3360011679306795E-2</v>
      </c>
      <c r="G686">
        <f t="shared" si="280"/>
        <v>-1.6436345211932435E-2</v>
      </c>
      <c r="H686">
        <f t="shared" si="280"/>
        <v>-1.1052572220474842E-2</v>
      </c>
      <c r="I686">
        <f t="shared" si="280"/>
        <v>1.7758980468341668E-2</v>
      </c>
      <c r="J686">
        <f t="shared" si="280"/>
        <v>2.2856844615196725E-2</v>
      </c>
      <c r="K686">
        <f t="shared" si="280"/>
        <v>-1.5491939886797678E-3</v>
      </c>
    </row>
    <row r="687" spans="1:11">
      <c r="A687" s="1">
        <v>45701</v>
      </c>
      <c r="B687">
        <f t="shared" ref="B687:K687" si="281">B282-B$399</f>
        <v>-4.3507433593061254E-3</v>
      </c>
      <c r="C687">
        <f t="shared" si="281"/>
        <v>1.0984550856473036E-2</v>
      </c>
      <c r="D687">
        <f t="shared" si="281"/>
        <v>2.7089380131058026E-3</v>
      </c>
      <c r="E687">
        <f t="shared" si="281"/>
        <v>1.3386497530813392E-2</v>
      </c>
      <c r="F687">
        <f t="shared" si="281"/>
        <v>1.3610823497745573E-2</v>
      </c>
      <c r="G687">
        <f t="shared" si="281"/>
        <v>2.7709255983673742E-2</v>
      </c>
      <c r="H687">
        <f t="shared" si="281"/>
        <v>4.3740516337597039E-3</v>
      </c>
      <c r="I687">
        <f t="shared" si="281"/>
        <v>-6.9810047796337905E-4</v>
      </c>
      <c r="J687">
        <f t="shared" si="281"/>
        <v>5.6212970077749905E-2</v>
      </c>
      <c r="K687">
        <f t="shared" si="281"/>
        <v>9.7054512470092086E-3</v>
      </c>
    </row>
    <row r="688" spans="1:11">
      <c r="A688" s="1">
        <v>45702</v>
      </c>
      <c r="B688">
        <f t="shared" ref="B688:K688" si="282">B283-B$399</f>
        <v>-5.5022175524911902E-3</v>
      </c>
      <c r="C688">
        <f t="shared" si="282"/>
        <v>-9.5780823784311128E-3</v>
      </c>
      <c r="D688">
        <f t="shared" si="282"/>
        <v>-6.0978002885574275E-3</v>
      </c>
      <c r="E688">
        <f t="shared" si="282"/>
        <v>1.1727943001877796E-2</v>
      </c>
      <c r="F688">
        <f t="shared" si="282"/>
        <v>-1.858220189308578E-3</v>
      </c>
      <c r="G688">
        <f t="shared" si="282"/>
        <v>2.2377646777801796E-2</v>
      </c>
      <c r="H688">
        <f t="shared" si="282"/>
        <v>-7.9542208544394182E-3</v>
      </c>
      <c r="I688">
        <f t="shared" si="282"/>
        <v>1.079367988243143E-3</v>
      </c>
      <c r="J688">
        <f t="shared" si="282"/>
        <v>-1.8077101291318794E-3</v>
      </c>
      <c r="K688">
        <f t="shared" si="282"/>
        <v>-6.5368868259980265E-3</v>
      </c>
    </row>
    <row r="689" spans="1:11">
      <c r="A689" s="1">
        <v>45706</v>
      </c>
      <c r="B689">
        <f t="shared" ref="B689:K689" si="283">B284-B$399</f>
        <v>2.9805763570087186E-3</v>
      </c>
      <c r="C689">
        <f t="shared" si="283"/>
        <v>2.1005593327019742E-3</v>
      </c>
      <c r="D689">
        <f t="shared" si="283"/>
        <v>2.0044033690611728E-3</v>
      </c>
      <c r="E689">
        <f t="shared" si="283"/>
        <v>-2.4048590233052777E-2</v>
      </c>
      <c r="F689">
        <f t="shared" si="283"/>
        <v>6.2758536565375236E-2</v>
      </c>
      <c r="G689">
        <f t="shared" si="283"/>
        <v>2.4856297192231078E-5</v>
      </c>
      <c r="H689">
        <f t="shared" si="283"/>
        <v>5.2280986871194894E-3</v>
      </c>
      <c r="I689">
        <f t="shared" si="283"/>
        <v>3.9205364231763486E-3</v>
      </c>
      <c r="J689">
        <f t="shared" si="283"/>
        <v>-6.3885132924623063E-3</v>
      </c>
      <c r="K689">
        <f t="shared" si="283"/>
        <v>5.133153004278009E-3</v>
      </c>
    </row>
    <row r="690" spans="1:11">
      <c r="A690" s="1">
        <v>45707</v>
      </c>
      <c r="B690">
        <f t="shared" ref="B690:K690" si="284">B285-B$399</f>
        <v>6.3776100599339299E-3</v>
      </c>
      <c r="C690">
        <f t="shared" si="284"/>
        <v>1.4258579142448375E-2</v>
      </c>
      <c r="D690">
        <f t="shared" si="284"/>
        <v>1.15649103738409E-2</v>
      </c>
      <c r="E690">
        <f t="shared" si="284"/>
        <v>4.6631623526117178E-3</v>
      </c>
      <c r="F690">
        <f t="shared" si="284"/>
        <v>-9.9755579919633564E-3</v>
      </c>
      <c r="G690">
        <f t="shared" si="284"/>
        <v>-5.1558411398067733E-3</v>
      </c>
      <c r="H690">
        <f t="shared" si="284"/>
        <v>1.2143264025228919E-2</v>
      </c>
      <c r="I690">
        <f t="shared" si="284"/>
        <v>-5.1218062725951839E-3</v>
      </c>
      <c r="J690">
        <f t="shared" si="284"/>
        <v>1.6687967523875424E-2</v>
      </c>
      <c r="K690">
        <f t="shared" si="284"/>
        <v>9.7226447647083408E-3</v>
      </c>
    </row>
    <row r="691" spans="1:11">
      <c r="A691" s="1">
        <v>45708</v>
      </c>
      <c r="B691">
        <f t="shared" ref="B691:K691" si="285">B286-B$399</f>
        <v>-2.8312207371604163E-2</v>
      </c>
      <c r="C691">
        <f t="shared" si="285"/>
        <v>-9.4125197189471243E-4</v>
      </c>
      <c r="D691">
        <f t="shared" si="285"/>
        <v>4.3325353753078813E-3</v>
      </c>
      <c r="E691">
        <f t="shared" si="285"/>
        <v>-2.0567505113160241E-2</v>
      </c>
      <c r="F691">
        <f t="shared" si="285"/>
        <v>6.3249092211846835E-3</v>
      </c>
      <c r="G691">
        <f t="shared" si="285"/>
        <v>2.3842914518121244E-3</v>
      </c>
      <c r="H691">
        <f t="shared" si="285"/>
        <v>2.2840394732169037E-2</v>
      </c>
      <c r="I691">
        <f t="shared" si="285"/>
        <v>7.2120188181975433E-3</v>
      </c>
      <c r="J691">
        <f t="shared" si="285"/>
        <v>-1.8611292196493868E-2</v>
      </c>
      <c r="K691">
        <f t="shared" si="285"/>
        <v>-3.4672523017541122E-3</v>
      </c>
    </row>
    <row r="692" spans="1:11">
      <c r="A692" s="1">
        <v>45709</v>
      </c>
      <c r="B692">
        <f t="shared" ref="B692:K692" si="286">B287-B$399</f>
        <v>-2.06232298177969E-2</v>
      </c>
      <c r="C692">
        <f t="shared" si="286"/>
        <v>1.8190269537371736E-2</v>
      </c>
      <c r="D692">
        <f t="shared" si="286"/>
        <v>-1.9990791309184561E-2</v>
      </c>
      <c r="E692">
        <f t="shared" si="286"/>
        <v>-2.3435617383645243E-2</v>
      </c>
      <c r="F692">
        <f t="shared" si="286"/>
        <v>-8.988460161085331E-3</v>
      </c>
      <c r="G692">
        <f t="shared" si="286"/>
        <v>-4.4475895900008833E-2</v>
      </c>
      <c r="H692">
        <f t="shared" si="286"/>
        <v>2.9786773120671243E-2</v>
      </c>
      <c r="I692">
        <f t="shared" si="286"/>
        <v>-1.4372865308450842E-2</v>
      </c>
      <c r="J692">
        <f t="shared" si="286"/>
        <v>-4.8366493904997518E-2</v>
      </c>
      <c r="K692">
        <f t="shared" si="286"/>
        <v>3.053750258636342E-3</v>
      </c>
    </row>
    <row r="693" spans="1:11">
      <c r="A693" s="1">
        <v>45712</v>
      </c>
      <c r="B693">
        <f t="shared" ref="B693:K693" si="287">B288-B$399</f>
        <v>1.5578309418965824E-2</v>
      </c>
      <c r="C693">
        <f t="shared" si="287"/>
        <v>-1.1164927112857275E-2</v>
      </c>
      <c r="D693">
        <f t="shared" si="287"/>
        <v>-1.1271487181910386E-2</v>
      </c>
      <c r="E693">
        <f t="shared" si="287"/>
        <v>-1.7191898102757171E-2</v>
      </c>
      <c r="F693">
        <f t="shared" si="287"/>
        <v>4.9875590420499619E-2</v>
      </c>
      <c r="G693">
        <f t="shared" si="287"/>
        <v>-3.4807284806325722E-2</v>
      </c>
      <c r="H693">
        <f t="shared" si="287"/>
        <v>2.556838735113478E-3</v>
      </c>
      <c r="I693">
        <f t="shared" si="287"/>
        <v>1.254170630724071E-2</v>
      </c>
      <c r="J693">
        <f t="shared" si="287"/>
        <v>-2.3048325431484763E-2</v>
      </c>
      <c r="K693">
        <f t="shared" si="287"/>
        <v>6.1994690167297825E-3</v>
      </c>
    </row>
    <row r="694" spans="1:11">
      <c r="A694" s="1">
        <v>45713</v>
      </c>
      <c r="B694">
        <f t="shared" ref="B694:K694" si="288">B289-B$399</f>
        <v>-9.1174285464328767E-3</v>
      </c>
      <c r="C694">
        <f t="shared" si="288"/>
        <v>1.2236601630319083E-2</v>
      </c>
      <c r="D694">
        <f t="shared" si="288"/>
        <v>-1.6057250532053077E-2</v>
      </c>
      <c r="E694">
        <f t="shared" si="288"/>
        <v>-1.391891452991295E-2</v>
      </c>
      <c r="F694">
        <f t="shared" si="288"/>
        <v>1.840117770781137E-2</v>
      </c>
      <c r="G694">
        <f t="shared" si="288"/>
        <v>-3.1952858880706259E-2</v>
      </c>
      <c r="H694">
        <f t="shared" si="288"/>
        <v>1.6981125956592517E-2</v>
      </c>
      <c r="I694">
        <f t="shared" si="288"/>
        <v>1.2024262543882327E-2</v>
      </c>
      <c r="J694">
        <f t="shared" si="288"/>
        <v>-8.5422341978605251E-2</v>
      </c>
      <c r="K694">
        <f t="shared" si="288"/>
        <v>1.3373422942999633E-2</v>
      </c>
    </row>
    <row r="695" spans="1:11">
      <c r="A695" s="1">
        <v>45714</v>
      </c>
      <c r="B695">
        <f t="shared" ref="B695:K695" si="289">B290-B$399</f>
        <v>-2.9339345839979818E-2</v>
      </c>
      <c r="C695">
        <f t="shared" si="289"/>
        <v>-1.0164857656869091E-2</v>
      </c>
      <c r="D695">
        <f t="shared" si="289"/>
        <v>3.640976175195446E-3</v>
      </c>
      <c r="E695">
        <f t="shared" si="289"/>
        <v>1.0560644768900009E-2</v>
      </c>
      <c r="F695">
        <f t="shared" si="289"/>
        <v>-6.2664868467553359E-3</v>
      </c>
      <c r="G695">
        <f t="shared" si="289"/>
        <v>3.2784997174756414E-2</v>
      </c>
      <c r="H695">
        <f t="shared" si="289"/>
        <v>-3.1113377021069418E-2</v>
      </c>
      <c r="I695">
        <f t="shared" si="289"/>
        <v>-1.4219768356778748E-2</v>
      </c>
      <c r="J695">
        <f t="shared" si="289"/>
        <v>-4.115686724456806E-2</v>
      </c>
      <c r="K695">
        <f t="shared" si="289"/>
        <v>9.8728207437684262E-3</v>
      </c>
    </row>
    <row r="696" spans="1:11">
      <c r="A696" s="1">
        <v>45715</v>
      </c>
      <c r="B696">
        <f t="shared" ref="B696:K696" si="290">B291-B$399</f>
        <v>4.5637047797674798E-3</v>
      </c>
      <c r="C696">
        <f t="shared" si="290"/>
        <v>4.7544586057251615E-4</v>
      </c>
      <c r="D696">
        <f t="shared" si="290"/>
        <v>-1.8970342055975351E-2</v>
      </c>
      <c r="E696">
        <f t="shared" si="290"/>
        <v>-2.9818905997660513E-2</v>
      </c>
      <c r="F696">
        <f t="shared" si="290"/>
        <v>-1.3703929592491658E-2</v>
      </c>
      <c r="G696">
        <f t="shared" si="290"/>
        <v>-8.8716934675852566E-2</v>
      </c>
      <c r="H696">
        <f t="shared" si="290"/>
        <v>3.6428192041185769E-3</v>
      </c>
      <c r="I696">
        <f t="shared" si="290"/>
        <v>1.2841586635876303E-2</v>
      </c>
      <c r="J696">
        <f t="shared" si="290"/>
        <v>-3.1959951562057484E-2</v>
      </c>
      <c r="K696">
        <f t="shared" si="290"/>
        <v>-3.8251306225701308E-3</v>
      </c>
    </row>
    <row r="697" spans="1:11">
      <c r="A697" s="1">
        <v>45716</v>
      </c>
      <c r="B697">
        <f t="shared" ref="B697:K697" si="291">B292-B$399</f>
        <v>4.6004518779078681E-3</v>
      </c>
      <c r="C697">
        <f t="shared" si="291"/>
        <v>4.2843512509452234E-3</v>
      </c>
      <c r="D697">
        <f t="shared" si="291"/>
        <v>1.0403948269933641E-2</v>
      </c>
      <c r="E697">
        <f t="shared" si="291"/>
        <v>1.5602721689023826E-2</v>
      </c>
      <c r="F697">
        <f t="shared" si="291"/>
        <v>-6.9091510778895738E-3</v>
      </c>
      <c r="G697">
        <f t="shared" si="291"/>
        <v>3.5764086184974564E-2</v>
      </c>
      <c r="H697">
        <f t="shared" si="291"/>
        <v>9.8149032156632527E-3</v>
      </c>
      <c r="I697">
        <f t="shared" si="291"/>
        <v>1.1185101851771342E-2</v>
      </c>
      <c r="J697">
        <f t="shared" si="291"/>
        <v>3.7593658640675168E-2</v>
      </c>
      <c r="K697">
        <f t="shared" si="291"/>
        <v>1.2300195669907185E-2</v>
      </c>
    </row>
    <row r="698" spans="1:11">
      <c r="A698" s="1">
        <v>45719</v>
      </c>
      <c r="B698">
        <f t="shared" ref="B698:K698" si="292">B293-B$399</f>
        <v>-2.6171420147597706E-2</v>
      </c>
      <c r="C698">
        <f t="shared" si="292"/>
        <v>1.5074443538617694E-2</v>
      </c>
      <c r="D698">
        <f t="shared" si="292"/>
        <v>-2.236935365127378E-2</v>
      </c>
      <c r="E698">
        <f t="shared" si="292"/>
        <v>-9.5539290747064781E-3</v>
      </c>
      <c r="F698">
        <f t="shared" si="292"/>
        <v>-7.3812055968785917E-3</v>
      </c>
      <c r="G698">
        <f t="shared" si="292"/>
        <v>-9.0871885688460996E-2</v>
      </c>
      <c r="H698">
        <f t="shared" si="292"/>
        <v>1.6696672583700004E-2</v>
      </c>
      <c r="I698">
        <f t="shared" si="292"/>
        <v>-3.7980996502642392E-3</v>
      </c>
      <c r="J698">
        <f t="shared" si="292"/>
        <v>-2.9958778900334316E-2</v>
      </c>
      <c r="K698">
        <f t="shared" si="292"/>
        <v>1.3870482862928103E-3</v>
      </c>
    </row>
    <row r="699" spans="1:11">
      <c r="A699" s="1">
        <v>45720</v>
      </c>
      <c r="B699">
        <f t="shared" ref="B699:K699" si="293">B294-B$399</f>
        <v>-6.5625683103219423E-2</v>
      </c>
      <c r="C699">
        <f t="shared" si="293"/>
        <v>-2.9965560175213627E-2</v>
      </c>
      <c r="D699">
        <f t="shared" si="293"/>
        <v>-6.493119176988882E-4</v>
      </c>
      <c r="E699">
        <f t="shared" si="293"/>
        <v>-3.7081883001506811E-3</v>
      </c>
      <c r="F699">
        <f t="shared" si="293"/>
        <v>-1.3437356970302893E-2</v>
      </c>
      <c r="G699">
        <f t="shared" si="293"/>
        <v>1.2984655778566166E-2</v>
      </c>
      <c r="H699">
        <f t="shared" si="293"/>
        <v>-1.126262846736492E-2</v>
      </c>
      <c r="I699">
        <f t="shared" si="293"/>
        <v>-2.9371285808670777E-2</v>
      </c>
      <c r="J699">
        <f t="shared" si="293"/>
        <v>-4.5826713810665207E-2</v>
      </c>
      <c r="K699">
        <f t="shared" si="293"/>
        <v>-1.9565689716305637E-2</v>
      </c>
    </row>
    <row r="700" spans="1:11">
      <c r="A700" s="1">
        <v>45721</v>
      </c>
      <c r="B700">
        <f t="shared" ref="B700:K700" si="294">B295-B$399</f>
        <v>2.6807613342502097E-2</v>
      </c>
      <c r="C700">
        <f t="shared" si="294"/>
        <v>-2.080342935960993E-3</v>
      </c>
      <c r="D700">
        <f t="shared" si="294"/>
        <v>3.0976151668385313E-2</v>
      </c>
      <c r="E700">
        <f t="shared" si="294"/>
        <v>1.6299083415304564E-2</v>
      </c>
      <c r="F700">
        <f t="shared" si="294"/>
        <v>6.8011733770337989E-3</v>
      </c>
      <c r="G700">
        <f t="shared" si="294"/>
        <v>7.3578486000815384E-3</v>
      </c>
      <c r="H700">
        <f t="shared" si="294"/>
        <v>-1.7339657007831E-3</v>
      </c>
      <c r="I700">
        <f t="shared" si="294"/>
        <v>-3.6460122881687516E-3</v>
      </c>
      <c r="J700">
        <f t="shared" si="294"/>
        <v>2.4425309326491295E-2</v>
      </c>
      <c r="K700">
        <f t="shared" si="294"/>
        <v>9.7351542188110708E-4</v>
      </c>
    </row>
    <row r="701" spans="1:11">
      <c r="A701" s="1">
        <v>45722</v>
      </c>
      <c r="B701">
        <f t="shared" ref="B701:K701" si="295">B296-B$399</f>
        <v>-2.8991778379741033E-2</v>
      </c>
      <c r="C701">
        <f t="shared" si="295"/>
        <v>4.9091283325726712E-3</v>
      </c>
      <c r="D701">
        <f t="shared" si="295"/>
        <v>-1.1256877757488723E-2</v>
      </c>
      <c r="E701">
        <f t="shared" si="295"/>
        <v>-8.7892781070054882E-2</v>
      </c>
      <c r="F701">
        <f t="shared" si="295"/>
        <v>-8.2131254181049148E-4</v>
      </c>
      <c r="G701">
        <f t="shared" si="295"/>
        <v>-6.1310497049891388E-2</v>
      </c>
      <c r="H701">
        <f t="shared" si="295"/>
        <v>5.020613631823048E-3</v>
      </c>
      <c r="I701">
        <f t="shared" si="295"/>
        <v>-5.6034065585524935E-2</v>
      </c>
      <c r="J701">
        <f t="shared" si="295"/>
        <v>-5.7599815743459445E-2</v>
      </c>
      <c r="K701">
        <f t="shared" si="295"/>
        <v>-1.2870781403887158E-2</v>
      </c>
    </row>
    <row r="702" spans="1:11">
      <c r="A702" s="1">
        <v>45723</v>
      </c>
      <c r="B702">
        <f t="shared" ref="B702:K702" si="296">B297-B$399</f>
        <v>-2.6827491869698177E-2</v>
      </c>
      <c r="C702">
        <f t="shared" si="296"/>
        <v>1.3253427162781379E-2</v>
      </c>
      <c r="D702">
        <f t="shared" si="296"/>
        <v>-9.9783756303172128E-3</v>
      </c>
      <c r="E702">
        <f t="shared" si="296"/>
        <v>-1.9383485917637552E-2</v>
      </c>
      <c r="F702">
        <f t="shared" si="296"/>
        <v>1.1788066844144475E-2</v>
      </c>
      <c r="G702">
        <f t="shared" si="296"/>
        <v>1.5237133925235456E-2</v>
      </c>
      <c r="H702">
        <f t="shared" si="296"/>
        <v>8.0087697243705919E-3</v>
      </c>
      <c r="I702">
        <f t="shared" si="296"/>
        <v>9.2319098145009406E-3</v>
      </c>
      <c r="J702">
        <f t="shared" si="296"/>
        <v>-4.4874555937507894E-3</v>
      </c>
      <c r="K702">
        <f t="shared" si="296"/>
        <v>6.8887668418375571E-4</v>
      </c>
    </row>
    <row r="703" spans="1:11">
      <c r="A703" s="1">
        <v>45726</v>
      </c>
      <c r="B703">
        <f t="shared" ref="B703:K703" si="297">B298-B$399</f>
        <v>-3.9111888135143262E-2</v>
      </c>
      <c r="C703">
        <f t="shared" si="297"/>
        <v>-2.3318783501652873E-4</v>
      </c>
      <c r="D703">
        <f t="shared" si="297"/>
        <v>-3.4392345307186253E-2</v>
      </c>
      <c r="E703">
        <f t="shared" si="297"/>
        <v>-2.9973180096856285E-2</v>
      </c>
      <c r="F703">
        <f t="shared" si="297"/>
        <v>-2.7402174543355681E-2</v>
      </c>
      <c r="G703">
        <f t="shared" si="297"/>
        <v>-5.4606279062919649E-2</v>
      </c>
      <c r="H703">
        <f t="shared" si="297"/>
        <v>1.1996276618979953E-2</v>
      </c>
      <c r="I703">
        <f t="shared" si="297"/>
        <v>-5.0588490666354298E-2</v>
      </c>
      <c r="J703">
        <f t="shared" si="297"/>
        <v>-0.15578881497852021</v>
      </c>
      <c r="K703">
        <f t="shared" si="297"/>
        <v>2.6511633430084526E-3</v>
      </c>
    </row>
    <row r="704" spans="1:11">
      <c r="A704" s="1">
        <v>45727</v>
      </c>
      <c r="B704">
        <f t="shared" ref="B704:K704" si="298">B299-B$399</f>
        <v>3.9890264533454851E-2</v>
      </c>
      <c r="C704">
        <f t="shared" si="298"/>
        <v>-6.2514493579405913E-3</v>
      </c>
      <c r="D704">
        <f t="shared" si="298"/>
        <v>-1.9539176013870453E-4</v>
      </c>
      <c r="E704">
        <f t="shared" si="298"/>
        <v>3.0233842049671781E-2</v>
      </c>
      <c r="F704">
        <f t="shared" si="298"/>
        <v>-2.8724685854117457E-2</v>
      </c>
      <c r="G704">
        <f t="shared" si="298"/>
        <v>1.270240517253146E-2</v>
      </c>
      <c r="H704">
        <f t="shared" si="298"/>
        <v>-2.4811330023161157E-2</v>
      </c>
      <c r="I704">
        <f t="shared" si="298"/>
        <v>-1.56710311797429E-2</v>
      </c>
      <c r="J704">
        <f t="shared" si="298"/>
        <v>3.642062288638577E-2</v>
      </c>
      <c r="K704">
        <f t="shared" si="298"/>
        <v>-1.7209428474978708E-2</v>
      </c>
    </row>
    <row r="705" spans="1:11">
      <c r="A705" s="1">
        <v>45728</v>
      </c>
      <c r="B705">
        <f t="shared" ref="B705:K705" si="299">B300-B$399</f>
        <v>3.0765506510012926E-2</v>
      </c>
      <c r="C705">
        <f t="shared" si="299"/>
        <v>-1.599736584835371E-2</v>
      </c>
      <c r="D705">
        <f t="shared" si="299"/>
        <v>6.4540366334593516E-3</v>
      </c>
      <c r="E705">
        <f t="shared" si="299"/>
        <v>2.4902697055191384E-2</v>
      </c>
      <c r="F705">
        <f t="shared" si="299"/>
        <v>-7.4906988332112834E-3</v>
      </c>
      <c r="G705">
        <f t="shared" si="299"/>
        <v>6.0339632129611631E-2</v>
      </c>
      <c r="H705">
        <f t="shared" si="299"/>
        <v>-2.7032565521034054E-2</v>
      </c>
      <c r="I705">
        <f t="shared" si="299"/>
        <v>-9.2817437455423677E-3</v>
      </c>
      <c r="J705">
        <f t="shared" si="299"/>
        <v>7.4412165411822676E-2</v>
      </c>
      <c r="K705">
        <f t="shared" si="299"/>
        <v>-1.7302581491792493E-2</v>
      </c>
    </row>
    <row r="706" spans="1:11">
      <c r="A706" s="1">
        <v>45729</v>
      </c>
      <c r="B706">
        <f t="shared" ref="B706:K706" si="300">B301-B$399</f>
        <v>3.2728228567557361E-3</v>
      </c>
      <c r="C706">
        <f t="shared" si="300"/>
        <v>-5.0886744470881092E-3</v>
      </c>
      <c r="D706">
        <f t="shared" si="300"/>
        <v>-1.2699291057497772E-2</v>
      </c>
      <c r="E706">
        <f t="shared" si="300"/>
        <v>-3.4645200324114167E-2</v>
      </c>
      <c r="F706">
        <f t="shared" si="300"/>
        <v>-1.2311381984445023E-2</v>
      </c>
      <c r="G706">
        <f t="shared" si="300"/>
        <v>-5.3186593457152393E-3</v>
      </c>
      <c r="H706">
        <f t="shared" si="300"/>
        <v>1.4238969841288162E-3</v>
      </c>
      <c r="I706">
        <f t="shared" si="300"/>
        <v>-2.7196034527074763E-2</v>
      </c>
      <c r="J706">
        <f t="shared" si="300"/>
        <v>-3.1394954953149409E-2</v>
      </c>
      <c r="K706">
        <f t="shared" si="300"/>
        <v>-6.9319837927550179E-3</v>
      </c>
    </row>
    <row r="707" spans="1:11">
      <c r="A707" s="1">
        <v>45730</v>
      </c>
      <c r="B707">
        <f t="shared" ref="B707:K707" si="301">B302-B$399</f>
        <v>1.5627097729335966E-2</v>
      </c>
      <c r="C707">
        <f t="shared" si="301"/>
        <v>2.1036168234328046E-4</v>
      </c>
      <c r="D707">
        <f t="shared" si="301"/>
        <v>2.4888628242197411E-2</v>
      </c>
      <c r="E707">
        <f t="shared" si="301"/>
        <v>2.8705769291940634E-2</v>
      </c>
      <c r="F707">
        <f t="shared" si="301"/>
        <v>-1.3027228641549248E-2</v>
      </c>
      <c r="G707">
        <f t="shared" si="301"/>
        <v>4.875451814838655E-2</v>
      </c>
      <c r="H707">
        <f t="shared" si="301"/>
        <v>1.9618862166365125E-3</v>
      </c>
      <c r="I707">
        <f t="shared" si="301"/>
        <v>2.1209239064339126E-2</v>
      </c>
      <c r="J707">
        <f t="shared" si="301"/>
        <v>3.711378562987673E-2</v>
      </c>
      <c r="K707">
        <f t="shared" si="301"/>
        <v>1.6563852660163733E-2</v>
      </c>
    </row>
    <row r="708" spans="1:11">
      <c r="A708" s="1">
        <v>45733</v>
      </c>
      <c r="B708">
        <f t="shared" ref="B708:K708" si="302">B303-B$399</f>
        <v>2.4549314345274085E-4</v>
      </c>
      <c r="C708">
        <f t="shared" si="302"/>
        <v>1.3367682096572958E-2</v>
      </c>
      <c r="D708">
        <f t="shared" si="302"/>
        <v>-5.9782930422323745E-4</v>
      </c>
      <c r="E708">
        <f t="shared" si="302"/>
        <v>3.2322253856082173E-2</v>
      </c>
      <c r="F708">
        <f t="shared" si="302"/>
        <v>2.8931595148084091E-2</v>
      </c>
      <c r="G708">
        <f t="shared" si="302"/>
        <v>-2.152483868589522E-2</v>
      </c>
      <c r="H708">
        <f t="shared" si="302"/>
        <v>1.8783895246275665E-2</v>
      </c>
      <c r="I708">
        <f t="shared" si="302"/>
        <v>9.5426840179962859E-3</v>
      </c>
      <c r="J708">
        <f t="shared" si="302"/>
        <v>-4.9410583164624808E-2</v>
      </c>
      <c r="K708">
        <f t="shared" si="302"/>
        <v>1.0756535294284039E-2</v>
      </c>
    </row>
    <row r="709" spans="1:11">
      <c r="A709" s="1">
        <v>45734</v>
      </c>
      <c r="B709">
        <f t="shared" ref="B709:K709" si="303">B304-B$399</f>
        <v>-1.7317524822286156E-3</v>
      </c>
      <c r="C709">
        <f t="shared" si="303"/>
        <v>-1.1066585410426549E-2</v>
      </c>
      <c r="D709">
        <f t="shared" si="303"/>
        <v>-1.4284739139318478E-2</v>
      </c>
      <c r="E709">
        <f t="shared" si="303"/>
        <v>-2.3652275147341525E-2</v>
      </c>
      <c r="F709">
        <f t="shared" si="303"/>
        <v>-4.8277578336120997E-3</v>
      </c>
      <c r="G709">
        <f t="shared" si="303"/>
        <v>-3.8237274989756875E-2</v>
      </c>
      <c r="H709">
        <f t="shared" si="303"/>
        <v>-1.5251357218918902E-2</v>
      </c>
      <c r="I709">
        <f t="shared" si="303"/>
        <v>-8.418567443878042E-3</v>
      </c>
      <c r="J709">
        <f t="shared" si="303"/>
        <v>-5.4885837724815076E-2</v>
      </c>
      <c r="K709">
        <f t="shared" si="303"/>
        <v>1.9520263682451675E-2</v>
      </c>
    </row>
    <row r="710" spans="1:11">
      <c r="A710" s="1">
        <v>45735</v>
      </c>
      <c r="B710">
        <f t="shared" ref="B710:K710" si="304">B305-B$399</f>
        <v>6.8389567464475609E-2</v>
      </c>
      <c r="C710">
        <f t="shared" si="304"/>
        <v>-1.9545714231550874E-3</v>
      </c>
      <c r="D710">
        <f t="shared" si="304"/>
        <v>1.0253791858307451E-2</v>
      </c>
      <c r="E710">
        <f t="shared" si="304"/>
        <v>2.9173934656998194E-2</v>
      </c>
      <c r="F710">
        <f t="shared" si="304"/>
        <v>-3.9012130674866848E-3</v>
      </c>
      <c r="G710">
        <f t="shared" si="304"/>
        <v>1.4169927026167426E-2</v>
      </c>
      <c r="H710">
        <f t="shared" si="304"/>
        <v>-5.6298763515746338E-3</v>
      </c>
      <c r="I710">
        <f t="shared" si="304"/>
        <v>8.9150297504766354E-3</v>
      </c>
      <c r="J710">
        <f t="shared" si="304"/>
        <v>4.5297642600651791E-2</v>
      </c>
      <c r="K710">
        <f t="shared" si="304"/>
        <v>-2.0766484592515543E-3</v>
      </c>
    </row>
    <row r="711" spans="1:11">
      <c r="A711" s="1">
        <v>45736</v>
      </c>
      <c r="B711">
        <f t="shared" ref="B711:K711" si="305">B306-B$399</f>
        <v>1.2148207615542751E-3</v>
      </c>
      <c r="C711">
        <f t="shared" si="305"/>
        <v>5.6934939709254954E-3</v>
      </c>
      <c r="D711">
        <f t="shared" si="305"/>
        <v>-3.4852442215893421E-3</v>
      </c>
      <c r="E711">
        <f t="shared" si="305"/>
        <v>-1.1573109631087318E-2</v>
      </c>
      <c r="F711">
        <f t="shared" si="305"/>
        <v>-1.5017612494660925E-2</v>
      </c>
      <c r="G711">
        <f t="shared" si="305"/>
        <v>4.6580582530752462E-3</v>
      </c>
      <c r="H711">
        <f t="shared" si="305"/>
        <v>-6.205111487897594E-3</v>
      </c>
      <c r="I711">
        <f t="shared" si="305"/>
        <v>5.6301889862841147E-4</v>
      </c>
      <c r="J711">
        <f t="shared" si="305"/>
        <v>1.6914867058666003E-4</v>
      </c>
      <c r="K711">
        <f t="shared" si="305"/>
        <v>-7.0336658496690573E-4</v>
      </c>
    </row>
    <row r="712" spans="1:11">
      <c r="A712" s="1">
        <v>45737</v>
      </c>
      <c r="B712">
        <f t="shared" ref="B712:K712" si="306">B307-B$399</f>
        <v>3.0548481126785938E-2</v>
      </c>
      <c r="C712">
        <f t="shared" si="306"/>
        <v>-1.543208984266548E-2</v>
      </c>
      <c r="D712">
        <f t="shared" si="306"/>
        <v>1.0467776223523476E-2</v>
      </c>
      <c r="E712">
        <f t="shared" si="306"/>
        <v>7.3805872783974675E-3</v>
      </c>
      <c r="F712">
        <f t="shared" si="306"/>
        <v>-5.4086587443406317E-2</v>
      </c>
      <c r="G712">
        <f t="shared" si="306"/>
        <v>-1.0938688268355702E-2</v>
      </c>
      <c r="H712">
        <f t="shared" si="306"/>
        <v>-1.1276250733760927E-2</v>
      </c>
      <c r="I712">
        <f t="shared" si="306"/>
        <v>-2.2604514789511653E-2</v>
      </c>
      <c r="J712">
        <f t="shared" si="306"/>
        <v>5.1169488308618297E-2</v>
      </c>
      <c r="K712">
        <f t="shared" si="306"/>
        <v>-6.0843962257731291E-3</v>
      </c>
    </row>
    <row r="713" spans="1:11">
      <c r="A713" s="1">
        <v>45740</v>
      </c>
      <c r="B713">
        <f t="shared" ref="B713:K713" si="307">B308-B$399</f>
        <v>1.5662676080916156E-2</v>
      </c>
      <c r="C713">
        <f t="shared" si="307"/>
        <v>3.5642679525265627E-3</v>
      </c>
      <c r="D713">
        <f t="shared" si="307"/>
        <v>3.6933973241808503E-3</v>
      </c>
      <c r="E713">
        <f t="shared" si="307"/>
        <v>9.6258907500730868E-3</v>
      </c>
      <c r="F713">
        <f t="shared" si="307"/>
        <v>-7.6315121395192798E-3</v>
      </c>
      <c r="G713">
        <f t="shared" si="307"/>
        <v>2.7584603147040976E-2</v>
      </c>
      <c r="H713">
        <f t="shared" si="307"/>
        <v>7.1518334643819763E-3</v>
      </c>
      <c r="I713">
        <f t="shared" si="307"/>
        <v>-1.4251723531609093E-2</v>
      </c>
      <c r="J713">
        <f t="shared" si="307"/>
        <v>0.11780905451143527</v>
      </c>
      <c r="K713">
        <f t="shared" si="307"/>
        <v>1.2852062644153325E-2</v>
      </c>
    </row>
    <row r="714" spans="1:11">
      <c r="A714" s="1">
        <v>45741</v>
      </c>
      <c r="B714">
        <f t="shared" ref="B714:K714" si="308">B309-B$399</f>
        <v>9.3404286310489523E-3</v>
      </c>
      <c r="C714">
        <f t="shared" si="308"/>
        <v>-2.5437058370798063E-3</v>
      </c>
      <c r="D714">
        <f t="shared" si="308"/>
        <v>4.3333755932733068E-3</v>
      </c>
      <c r="E714">
        <f t="shared" si="308"/>
        <v>2.3460884939358776E-2</v>
      </c>
      <c r="F714">
        <f t="shared" si="308"/>
        <v>-1.2149166958065548E-2</v>
      </c>
      <c r="G714">
        <f t="shared" si="308"/>
        <v>-9.8665552527502105E-3</v>
      </c>
      <c r="H714">
        <f t="shared" si="308"/>
        <v>-5.9371923852000715E-3</v>
      </c>
      <c r="I714">
        <f t="shared" si="308"/>
        <v>1.3272967913780988E-3</v>
      </c>
      <c r="J714">
        <f t="shared" si="308"/>
        <v>3.3496061127947854E-2</v>
      </c>
      <c r="K714">
        <f t="shared" si="308"/>
        <v>1.4021115721066092E-3</v>
      </c>
    </row>
    <row r="715" spans="1:11">
      <c r="A715" s="1">
        <v>45742</v>
      </c>
      <c r="B715">
        <f t="shared" ref="B715:K715" si="309">B310-B$399</f>
        <v>-2.2127801664947926E-2</v>
      </c>
      <c r="C715">
        <f t="shared" si="309"/>
        <v>1.7071406679545261E-2</v>
      </c>
      <c r="D715">
        <f t="shared" si="309"/>
        <v>-1.4092102565691031E-2</v>
      </c>
      <c r="E715">
        <f t="shared" si="309"/>
        <v>-2.9260576980167537E-2</v>
      </c>
      <c r="F715">
        <f t="shared" si="309"/>
        <v>-1.1559015094220403E-2</v>
      </c>
      <c r="G715">
        <f t="shared" si="309"/>
        <v>-6.13560949936795E-2</v>
      </c>
      <c r="H715">
        <f t="shared" si="309"/>
        <v>2.1576618546402474E-2</v>
      </c>
      <c r="I715">
        <f t="shared" si="309"/>
        <v>2.1453871685296434E-2</v>
      </c>
      <c r="J715">
        <f t="shared" si="309"/>
        <v>-5.7333008547259021E-2</v>
      </c>
      <c r="K715">
        <f t="shared" si="309"/>
        <v>1.2496367184813696E-3</v>
      </c>
    </row>
    <row r="716" spans="1:11">
      <c r="A716" s="1">
        <v>45743</v>
      </c>
      <c r="B716">
        <f t="shared" ref="B716:K716" si="310">B311-B$399</f>
        <v>3.1345994591073846E-3</v>
      </c>
      <c r="C716">
        <f t="shared" si="310"/>
        <v>9.7696252198840542E-3</v>
      </c>
      <c r="D716">
        <f t="shared" si="310"/>
        <v>6.0595228979944181E-4</v>
      </c>
      <c r="E716">
        <f t="shared" si="310"/>
        <v>3.6955442372646496E-3</v>
      </c>
      <c r="F716">
        <f t="shared" si="310"/>
        <v>1.3766581754667397E-3</v>
      </c>
      <c r="G716">
        <f t="shared" si="310"/>
        <v>-2.4417999637080079E-2</v>
      </c>
      <c r="H716">
        <f t="shared" si="310"/>
        <v>7.2061387453660223E-3</v>
      </c>
      <c r="I716">
        <f t="shared" si="310"/>
        <v>8.6380077439526162E-3</v>
      </c>
      <c r="J716">
        <f t="shared" si="310"/>
        <v>2.4062361656578928E-3</v>
      </c>
      <c r="K716">
        <f t="shared" si="310"/>
        <v>6.0600788097909105E-3</v>
      </c>
    </row>
    <row r="717" spans="1:11">
      <c r="A717" s="1">
        <v>45744</v>
      </c>
      <c r="B717">
        <f t="shared" ref="B717:K717" si="311">B312-B$399</f>
        <v>-3.2384114985051275E-2</v>
      </c>
      <c r="C717">
        <f t="shared" si="311"/>
        <v>-5.7434811889630118E-3</v>
      </c>
      <c r="D717">
        <f t="shared" si="311"/>
        <v>-3.1118503468874556E-2</v>
      </c>
      <c r="E717">
        <f t="shared" si="311"/>
        <v>-4.6449739159390269E-2</v>
      </c>
      <c r="F717">
        <f t="shared" si="311"/>
        <v>-3.7682015467784477E-2</v>
      </c>
      <c r="G717">
        <f t="shared" si="311"/>
        <v>-1.9730944222911717E-2</v>
      </c>
      <c r="H717">
        <f t="shared" si="311"/>
        <v>-2.3959712425032343E-3</v>
      </c>
      <c r="I717">
        <f t="shared" si="311"/>
        <v>-1.1674440999098654E-2</v>
      </c>
      <c r="J717">
        <f t="shared" si="311"/>
        <v>-3.6601681471099143E-2</v>
      </c>
      <c r="K717">
        <f t="shared" si="311"/>
        <v>-1.161638238091818E-2</v>
      </c>
    </row>
    <row r="718" spans="1:11">
      <c r="A718" s="1">
        <v>45747</v>
      </c>
      <c r="B718">
        <f t="shared" ref="B718:K718" si="312">B313-B$399</f>
        <v>-1.5926952410462207E-2</v>
      </c>
      <c r="C718">
        <f t="shared" si="312"/>
        <v>1.725001803074205E-2</v>
      </c>
      <c r="D718">
        <f t="shared" si="312"/>
        <v>-9.9602257756368079E-3</v>
      </c>
      <c r="E718">
        <f t="shared" si="312"/>
        <v>-3.9713874723643055E-3</v>
      </c>
      <c r="F718">
        <f t="shared" si="312"/>
        <v>3.4659228496739651E-3</v>
      </c>
      <c r="G718">
        <f t="shared" si="312"/>
        <v>-1.5698805510921232E-2</v>
      </c>
      <c r="H718">
        <f t="shared" si="312"/>
        <v>4.7651439594870197E-3</v>
      </c>
      <c r="I718">
        <f t="shared" si="312"/>
        <v>3.3392824839711868E-3</v>
      </c>
      <c r="J718">
        <f t="shared" si="312"/>
        <v>-1.8183868115677338E-2</v>
      </c>
      <c r="K718">
        <f t="shared" si="312"/>
        <v>4.3823791889232985E-3</v>
      </c>
    </row>
    <row r="719" spans="1:11">
      <c r="A719" s="1">
        <v>45748</v>
      </c>
      <c r="B719">
        <f t="shared" ref="B719:K719" si="313">B314-B$399</f>
        <v>-1.3956643508604755E-2</v>
      </c>
      <c r="C719">
        <f t="shared" si="313"/>
        <v>2.9774841031016638E-3</v>
      </c>
      <c r="D719">
        <f t="shared" si="313"/>
        <v>1.7156283153808585E-2</v>
      </c>
      <c r="E719">
        <f t="shared" si="313"/>
        <v>-7.0082267252758439E-3</v>
      </c>
      <c r="F719">
        <f t="shared" si="313"/>
        <v>2.0627785121192579E-2</v>
      </c>
      <c r="G719">
        <f t="shared" si="313"/>
        <v>1.2395148423434752E-2</v>
      </c>
      <c r="H719">
        <f t="shared" si="313"/>
        <v>-1.5241669906100853E-3</v>
      </c>
      <c r="I719">
        <f t="shared" si="313"/>
        <v>1.0830242860971808E-3</v>
      </c>
      <c r="J719">
        <f t="shared" si="313"/>
        <v>3.4358373098168762E-2</v>
      </c>
      <c r="K719">
        <f t="shared" si="313"/>
        <v>-3.5144742099211955E-3</v>
      </c>
    </row>
    <row r="720" spans="1:11">
      <c r="A720" s="1">
        <v>45749</v>
      </c>
      <c r="B720">
        <f t="shared" ref="B720:K720" si="314">B315-B$399</f>
        <v>2.3173150983694713E-3</v>
      </c>
      <c r="C720">
        <f t="shared" si="314"/>
        <v>-8.0268484648762847E-3</v>
      </c>
      <c r="D720">
        <f t="shared" si="314"/>
        <v>-1.088996952603213E-3</v>
      </c>
      <c r="E720">
        <f t="shared" si="314"/>
        <v>5.1328902868983967E-3</v>
      </c>
      <c r="F720">
        <f t="shared" si="314"/>
        <v>3.5521876909533471E-3</v>
      </c>
      <c r="G720">
        <f t="shared" si="314"/>
        <v>-1.4850505566209055E-3</v>
      </c>
      <c r="H720">
        <f t="shared" si="314"/>
        <v>-3.3982063794011342E-3</v>
      </c>
      <c r="I720">
        <f t="shared" si="314"/>
        <v>1.1668390485182747E-2</v>
      </c>
      <c r="J720">
        <f t="shared" si="314"/>
        <v>5.1740104043207794E-2</v>
      </c>
      <c r="K720">
        <f t="shared" si="314"/>
        <v>5.7253706582364951E-4</v>
      </c>
    </row>
    <row r="721" spans="1:11">
      <c r="A721" s="1">
        <v>45750</v>
      </c>
      <c r="B721">
        <f t="shared" ref="B721:K721" si="315">B316-B$399</f>
        <v>-0.10471221733250008</v>
      </c>
      <c r="C721">
        <f t="shared" si="315"/>
        <v>2.5422560705254112E-2</v>
      </c>
      <c r="D721">
        <f t="shared" si="315"/>
        <v>-2.4588380171895671E-2</v>
      </c>
      <c r="E721">
        <f t="shared" si="315"/>
        <v>-2.2301005839352846E-2</v>
      </c>
      <c r="F721">
        <f t="shared" si="315"/>
        <v>-0.14393261285290015</v>
      </c>
      <c r="G721">
        <f t="shared" si="315"/>
        <v>-8.2001811118261048E-2</v>
      </c>
      <c r="H721">
        <f t="shared" si="315"/>
        <v>1.5365149207128172E-2</v>
      </c>
      <c r="I721">
        <f t="shared" si="315"/>
        <v>-0.11250597722963386</v>
      </c>
      <c r="J721">
        <f t="shared" si="315"/>
        <v>-5.6272858129107359E-2</v>
      </c>
      <c r="K721">
        <f t="shared" si="315"/>
        <v>-1.5580494074161358E-2</v>
      </c>
    </row>
    <row r="722" spans="1:11">
      <c r="A722" s="1">
        <v>45751</v>
      </c>
      <c r="B722">
        <f t="shared" ref="B722:K722" si="316">B317-B$399</f>
        <v>-9.4892804042481183E-2</v>
      </c>
      <c r="C722">
        <f t="shared" si="316"/>
        <v>-4.492417307345737E-2</v>
      </c>
      <c r="D722">
        <f t="shared" si="316"/>
        <v>-3.6524079738561629E-2</v>
      </c>
      <c r="E722">
        <f t="shared" si="316"/>
        <v>-6.9282769426594448E-2</v>
      </c>
      <c r="F722">
        <f t="shared" si="316"/>
        <v>3.0510654752504376E-2</v>
      </c>
      <c r="G722">
        <f t="shared" si="316"/>
        <v>-7.7511885364267952E-2</v>
      </c>
      <c r="H722">
        <f t="shared" si="316"/>
        <v>-3.1169578208152689E-2</v>
      </c>
      <c r="I722">
        <f t="shared" si="316"/>
        <v>-7.013810259242205E-2</v>
      </c>
      <c r="J722">
        <f t="shared" si="316"/>
        <v>-0.10572461502471379</v>
      </c>
      <c r="K722">
        <f t="shared" si="316"/>
        <v>-7.1730110815663009E-2</v>
      </c>
    </row>
    <row r="723" spans="1:11">
      <c r="A723" s="1">
        <v>45754</v>
      </c>
      <c r="B723">
        <f t="shared" ref="B723:K723" si="317">B318-B$399</f>
        <v>1.6617347541629753E-2</v>
      </c>
      <c r="C723">
        <f t="shared" si="317"/>
        <v>-2.2821242092814168E-2</v>
      </c>
      <c r="D723">
        <f t="shared" si="317"/>
        <v>-6.4606707276999428E-3</v>
      </c>
      <c r="E723">
        <f t="shared" si="317"/>
        <v>1.1428027889787864E-2</v>
      </c>
      <c r="F723">
        <f t="shared" si="317"/>
        <v>-2.8182388182666149E-2</v>
      </c>
      <c r="G723">
        <f t="shared" si="317"/>
        <v>3.1372795650478513E-2</v>
      </c>
      <c r="H723">
        <f t="shared" si="317"/>
        <v>-2.3050555847697104E-2</v>
      </c>
      <c r="I723">
        <f t="shared" si="317"/>
        <v>-2.5922812624730184E-2</v>
      </c>
      <c r="J723">
        <f t="shared" si="317"/>
        <v>-2.7170983391380733E-2</v>
      </c>
      <c r="K723">
        <f t="shared" si="317"/>
        <v>-2.5930002969349622E-2</v>
      </c>
    </row>
    <row r="724" spans="1:11">
      <c r="A724" s="1">
        <v>45755</v>
      </c>
      <c r="B724">
        <f t="shared" ref="B724:K724" si="318">B319-B$399</f>
        <v>3.8150219065277769E-3</v>
      </c>
      <c r="C724">
        <f t="shared" si="318"/>
        <v>2.1808066333100585E-4</v>
      </c>
      <c r="D724">
        <f t="shared" si="318"/>
        <v>-1.0179666171658427E-2</v>
      </c>
      <c r="E724">
        <f t="shared" si="318"/>
        <v>4.0347616228958655E-4</v>
      </c>
      <c r="F724">
        <f t="shared" si="318"/>
        <v>-4.1614905863326931E-2</v>
      </c>
      <c r="G724">
        <f t="shared" si="318"/>
        <v>-1.7660038471230266E-2</v>
      </c>
      <c r="H724">
        <f t="shared" si="318"/>
        <v>-1.9906342708258303E-2</v>
      </c>
      <c r="I724">
        <f t="shared" si="318"/>
        <v>-4.2192255614330685E-3</v>
      </c>
      <c r="J724">
        <f t="shared" si="318"/>
        <v>-5.0521530093726549E-2</v>
      </c>
      <c r="K724">
        <f t="shared" si="318"/>
        <v>2.7848441028779781E-3</v>
      </c>
    </row>
    <row r="725" spans="1:11">
      <c r="A725" s="1">
        <v>45756</v>
      </c>
      <c r="B725">
        <f t="shared" ref="B725:K725" si="319">B320-B$399</f>
        <v>0.15373959580238544</v>
      </c>
      <c r="C725">
        <f t="shared" si="319"/>
        <v>2.1848643084801108E-2</v>
      </c>
      <c r="D725">
        <f t="shared" si="319"/>
        <v>0.10037859805166184</v>
      </c>
      <c r="E725">
        <f t="shared" si="319"/>
        <v>8.3689696366635424E-2</v>
      </c>
      <c r="F725">
        <f t="shared" si="319"/>
        <v>0.11403627076193258</v>
      </c>
      <c r="G725">
        <f t="shared" si="319"/>
        <v>0.18329106266424006</v>
      </c>
      <c r="H725">
        <f t="shared" si="319"/>
        <v>3.7981425620241871E-2</v>
      </c>
      <c r="I725">
        <f t="shared" si="319"/>
        <v>0.11246789524278632</v>
      </c>
      <c r="J725">
        <f t="shared" si="319"/>
        <v>0.22537315163967847</v>
      </c>
      <c r="K725">
        <f t="shared" si="319"/>
        <v>4.1506820548246989E-2</v>
      </c>
    </row>
    <row r="726" spans="1:11">
      <c r="A726" s="1">
        <v>45757</v>
      </c>
      <c r="B726">
        <f t="shared" ref="B726:K726" si="320">B321-B$399</f>
        <v>-3.2957880641814756E-2</v>
      </c>
      <c r="C726">
        <f t="shared" si="320"/>
        <v>1.1066636466104779E-2</v>
      </c>
      <c r="D726">
        <f t="shared" si="320"/>
        <v>-2.4364640050206873E-2</v>
      </c>
      <c r="E726">
        <f t="shared" si="320"/>
        <v>-2.8259432553259297E-2</v>
      </c>
      <c r="F726">
        <f t="shared" si="320"/>
        <v>-8.2476029283019212E-2</v>
      </c>
      <c r="G726">
        <f t="shared" si="320"/>
        <v>-6.3063330761016279E-2</v>
      </c>
      <c r="H726">
        <f t="shared" si="320"/>
        <v>-9.6829067853292355E-3</v>
      </c>
      <c r="I726">
        <f t="shared" si="320"/>
        <v>-4.635242542613683E-2</v>
      </c>
      <c r="J726">
        <f t="shared" si="320"/>
        <v>-7.4267442651495694E-2</v>
      </c>
      <c r="K726">
        <f t="shared" si="320"/>
        <v>5.1096377466859763E-3</v>
      </c>
    </row>
    <row r="727" spans="1:11">
      <c r="A727" s="1">
        <v>45758</v>
      </c>
      <c r="B727">
        <f t="shared" ref="B727:K727" si="321">B322-B$399</f>
        <v>8.4858398892681593E-3</v>
      </c>
      <c r="C727">
        <f t="shared" si="321"/>
        <v>8.9554006939228051E-3</v>
      </c>
      <c r="D727">
        <f t="shared" si="321"/>
        <v>1.7659906210464107E-2</v>
      </c>
      <c r="E727">
        <f t="shared" si="321"/>
        <v>-5.6844058130817703E-3</v>
      </c>
      <c r="F727">
        <f t="shared" si="321"/>
        <v>2.8001726588878915E-4</v>
      </c>
      <c r="G727">
        <f t="shared" si="321"/>
        <v>2.7299195800630283E-2</v>
      </c>
      <c r="H727">
        <f t="shared" si="321"/>
        <v>2.2885023157247519E-3</v>
      </c>
      <c r="I727">
        <f t="shared" si="321"/>
        <v>9.4666910085797664E-3</v>
      </c>
      <c r="J727">
        <f t="shared" si="321"/>
        <v>-1.8833091181666324E-3</v>
      </c>
      <c r="K727">
        <f t="shared" si="321"/>
        <v>1.5403167721669983E-2</v>
      </c>
    </row>
    <row r="728" spans="1:11">
      <c r="A728" s="1">
        <v>45761</v>
      </c>
      <c r="B728">
        <f t="shared" ref="B728:K728" si="322">B323-B$399</f>
        <v>1.5555508552627944E-2</v>
      </c>
      <c r="C728">
        <f t="shared" si="322"/>
        <v>1.3766453649740435E-2</v>
      </c>
      <c r="D728">
        <f t="shared" si="322"/>
        <v>-2.6058490196893959E-3</v>
      </c>
      <c r="E728">
        <f t="shared" si="322"/>
        <v>1.1587972520546387E-2</v>
      </c>
      <c r="F728">
        <f t="shared" si="322"/>
        <v>1.9217373783387073E-2</v>
      </c>
      <c r="G728">
        <f t="shared" si="322"/>
        <v>-5.9194985928088823E-3</v>
      </c>
      <c r="H728">
        <f t="shared" si="322"/>
        <v>1.633980519780465E-2</v>
      </c>
      <c r="I728">
        <f t="shared" si="322"/>
        <v>3.5804652578940403E-4</v>
      </c>
      <c r="J728">
        <f t="shared" si="322"/>
        <v>-1.3681777529261259E-3</v>
      </c>
      <c r="K728">
        <f t="shared" si="322"/>
        <v>1.881556810030531E-2</v>
      </c>
    </row>
    <row r="729" spans="1:11">
      <c r="A729" s="1">
        <v>45762</v>
      </c>
      <c r="B729">
        <f t="shared" ref="B729:K729" si="323">B324-B$399</f>
        <v>-2.3607956898499642E-2</v>
      </c>
      <c r="C729">
        <f t="shared" si="323"/>
        <v>-8.6566884044174171E-3</v>
      </c>
      <c r="D729">
        <f t="shared" si="323"/>
        <v>-6.3216123183977698E-3</v>
      </c>
      <c r="E729">
        <f t="shared" si="323"/>
        <v>4.5762647782685628E-2</v>
      </c>
      <c r="F729">
        <f t="shared" si="323"/>
        <v>-1.0003469584500034E-2</v>
      </c>
      <c r="G729">
        <f t="shared" si="323"/>
        <v>9.5223506198593415E-3</v>
      </c>
      <c r="H729">
        <f t="shared" si="323"/>
        <v>-2.636740611709187E-2</v>
      </c>
      <c r="I729">
        <f t="shared" si="323"/>
        <v>-2.1165383369437418E-2</v>
      </c>
      <c r="J729">
        <f t="shared" si="323"/>
        <v>5.4476715682479464E-3</v>
      </c>
      <c r="K729">
        <f t="shared" si="323"/>
        <v>-3.3251265487748848E-3</v>
      </c>
    </row>
    <row r="730" spans="1:11">
      <c r="A730" s="1">
        <v>45763</v>
      </c>
      <c r="B730">
        <f t="shared" ref="B730:K730" si="324">B325-B$399</f>
        <v>6.1067561249778576E-3</v>
      </c>
      <c r="C730">
        <f t="shared" si="324"/>
        <v>-3.0181316908624626E-3</v>
      </c>
      <c r="D730">
        <f t="shared" si="324"/>
        <v>-3.7564174772772393E-2</v>
      </c>
      <c r="E730">
        <f t="shared" si="324"/>
        <v>-1.7563907187242486E-2</v>
      </c>
      <c r="F730">
        <f t="shared" si="324"/>
        <v>-2.2881041198135263E-2</v>
      </c>
      <c r="G730">
        <f t="shared" si="324"/>
        <v>-7.2652836817104272E-2</v>
      </c>
      <c r="H730">
        <f t="shared" si="324"/>
        <v>-1.8975729528423076E-2</v>
      </c>
      <c r="I730">
        <f t="shared" si="324"/>
        <v>-3.5584927407757989E-2</v>
      </c>
      <c r="J730">
        <f t="shared" si="324"/>
        <v>-5.0954150355112568E-2</v>
      </c>
      <c r="K730">
        <f t="shared" si="324"/>
        <v>-8.1309565647089271E-3</v>
      </c>
    </row>
    <row r="731" spans="1:11">
      <c r="A731" s="1">
        <v>45764</v>
      </c>
      <c r="B731">
        <f t="shared" ref="B731:K731" si="325">B326-B$399</f>
        <v>3.470132772295504E-2</v>
      </c>
      <c r="C731">
        <f t="shared" si="325"/>
        <v>1.7902026725358729E-2</v>
      </c>
      <c r="D731">
        <f t="shared" si="325"/>
        <v>-1.126467042232103E-2</v>
      </c>
      <c r="E731">
        <f t="shared" si="325"/>
        <v>9.2969550325266454E-3</v>
      </c>
      <c r="F731">
        <f t="shared" si="325"/>
        <v>4.1733700851998137E-2</v>
      </c>
      <c r="G731">
        <f t="shared" si="325"/>
        <v>-3.2647158926040143E-2</v>
      </c>
      <c r="H731">
        <f t="shared" si="325"/>
        <v>1.9906831360582914E-2</v>
      </c>
      <c r="I731">
        <f t="shared" si="325"/>
        <v>8.8186769431443015E-3</v>
      </c>
      <c r="J731">
        <f t="shared" si="325"/>
        <v>-2.2719669275304451E-3</v>
      </c>
      <c r="K731">
        <f t="shared" si="325"/>
        <v>-1.2189798870160765E-2</v>
      </c>
    </row>
    <row r="732" spans="1:11">
      <c r="A732" s="1">
        <v>45768</v>
      </c>
      <c r="B732">
        <f t="shared" ref="B732:K732" si="326">B327-B$399</f>
        <v>-1.5813978466792937E-2</v>
      </c>
      <c r="C732">
        <f t="shared" si="326"/>
        <v>-3.6639100497932223E-3</v>
      </c>
      <c r="D732">
        <f t="shared" si="326"/>
        <v>-2.4504899773568831E-2</v>
      </c>
      <c r="E732">
        <f t="shared" si="326"/>
        <v>1.2734437145693502E-2</v>
      </c>
      <c r="F732">
        <f t="shared" si="326"/>
        <v>6.9201556050649937E-3</v>
      </c>
      <c r="G732">
        <f t="shared" si="326"/>
        <v>-4.9063774593707976E-2</v>
      </c>
      <c r="H732">
        <f t="shared" si="326"/>
        <v>-7.4944076817358126E-3</v>
      </c>
      <c r="I732">
        <f t="shared" si="326"/>
        <v>-1.0405630049946111E-2</v>
      </c>
      <c r="J732">
        <f t="shared" si="326"/>
        <v>-5.8990372715764836E-2</v>
      </c>
      <c r="K732">
        <f t="shared" si="326"/>
        <v>-1.702730227980738E-2</v>
      </c>
    </row>
    <row r="733" spans="1:11">
      <c r="A733" s="1">
        <v>45769</v>
      </c>
      <c r="B733">
        <f t="shared" ref="B733:K733" si="327">B328-B$399</f>
        <v>1.9955611037558003E-2</v>
      </c>
      <c r="C733">
        <f t="shared" si="327"/>
        <v>1.5015209936460045E-2</v>
      </c>
      <c r="D733">
        <f t="shared" si="327"/>
        <v>2.0483162185363848E-2</v>
      </c>
      <c r="E733">
        <f t="shared" si="327"/>
        <v>5.0513688397332779E-2</v>
      </c>
      <c r="F733">
        <f t="shared" si="327"/>
        <v>1.7213752534623553E-2</v>
      </c>
      <c r="G733">
        <f t="shared" si="327"/>
        <v>1.6495030069669958E-2</v>
      </c>
      <c r="H733">
        <f t="shared" si="327"/>
        <v>1.2483032608862412E-2</v>
      </c>
      <c r="I733">
        <f t="shared" si="327"/>
        <v>1.2918054255413139E-2</v>
      </c>
      <c r="J733">
        <f t="shared" si="327"/>
        <v>4.4495236631136706E-2</v>
      </c>
      <c r="K733">
        <f t="shared" si="327"/>
        <v>2.7545794415747157E-2</v>
      </c>
    </row>
    <row r="734" spans="1:11">
      <c r="A734" s="1">
        <v>45770</v>
      </c>
      <c r="B734">
        <f t="shared" ref="B734:K734" si="328">B329-B$399</f>
        <v>6.0606104072986118E-2</v>
      </c>
      <c r="C734">
        <f t="shared" si="328"/>
        <v>-8.632277229511159E-3</v>
      </c>
      <c r="D734">
        <f t="shared" si="328"/>
        <v>1.9678602624398925E-2</v>
      </c>
      <c r="E734">
        <f t="shared" si="328"/>
        <v>6.3333825706242703E-3</v>
      </c>
      <c r="F734">
        <f t="shared" si="328"/>
        <v>6.2472596696764426E-3</v>
      </c>
      <c r="G734">
        <f t="shared" si="328"/>
        <v>3.4692503828917365E-2</v>
      </c>
      <c r="H734">
        <f t="shared" si="328"/>
        <v>-8.0882587419385237E-3</v>
      </c>
      <c r="I734">
        <f t="shared" si="328"/>
        <v>1.2622007900964119E-2</v>
      </c>
      <c r="J734">
        <f t="shared" si="328"/>
        <v>5.2135497252992449E-2</v>
      </c>
      <c r="K734">
        <f t="shared" si="328"/>
        <v>2.376589621182076E-3</v>
      </c>
    </row>
    <row r="735" spans="1:11">
      <c r="A735" s="1">
        <v>45771</v>
      </c>
      <c r="B735">
        <f t="shared" ref="B735:K735" si="329">B330-B$399</f>
        <v>2.2565966123390964E-2</v>
      </c>
      <c r="C735">
        <f t="shared" si="329"/>
        <v>-1.1154461013184241E-2</v>
      </c>
      <c r="D735">
        <f t="shared" si="329"/>
        <v>3.3524498516521964E-2</v>
      </c>
      <c r="E735">
        <f t="shared" si="329"/>
        <v>4.248824854974026E-2</v>
      </c>
      <c r="F735">
        <f t="shared" si="329"/>
        <v>1.9456785490195375E-2</v>
      </c>
      <c r="G735">
        <f t="shared" si="329"/>
        <v>3.2282226626544064E-2</v>
      </c>
      <c r="H735">
        <f t="shared" si="329"/>
        <v>-4.8577550469782627E-2</v>
      </c>
      <c r="I735">
        <f t="shared" si="329"/>
        <v>1.233542215318161E-2</v>
      </c>
      <c r="J735">
        <f t="shared" si="329"/>
        <v>3.3449739166416873E-2</v>
      </c>
      <c r="K735">
        <f t="shared" si="329"/>
        <v>-5.7875988435447237E-2</v>
      </c>
    </row>
    <row r="736" spans="1:11">
      <c r="A736" s="1">
        <v>45772</v>
      </c>
      <c r="B736">
        <f t="shared" ref="B736:K736" si="330">B331-B$399</f>
        <v>9.5863594471629673E-3</v>
      </c>
      <c r="C736">
        <f t="shared" si="330"/>
        <v>-8.9245152588833306E-3</v>
      </c>
      <c r="D736">
        <f t="shared" si="330"/>
        <v>1.0789859610191646E-2</v>
      </c>
      <c r="E736">
        <f t="shared" si="330"/>
        <v>1.6905418828952489E-3</v>
      </c>
      <c r="F736">
        <f t="shared" si="330"/>
        <v>-1.4242012294479288E-2</v>
      </c>
      <c r="G736">
        <f t="shared" si="330"/>
        <v>3.909679189997467E-2</v>
      </c>
      <c r="H736">
        <f t="shared" si="330"/>
        <v>-1.3986878029118353E-2</v>
      </c>
      <c r="I736">
        <f t="shared" si="330"/>
        <v>-9.405033517997461E-4</v>
      </c>
      <c r="J736">
        <f t="shared" si="330"/>
        <v>9.6504163358929265E-2</v>
      </c>
      <c r="K736">
        <f t="shared" si="330"/>
        <v>-1.6563457886807978E-2</v>
      </c>
    </row>
    <row r="737" spans="1:11">
      <c r="A737" s="1">
        <v>45775</v>
      </c>
      <c r="B737">
        <f t="shared" ref="B737:K737" si="331">B332-B$399</f>
        <v>2.4443340378892793E-2</v>
      </c>
      <c r="C737">
        <f t="shared" si="331"/>
        <v>-2.1819921411840352E-3</v>
      </c>
      <c r="D737">
        <f t="shared" si="331"/>
        <v>-2.7191215691276661E-3</v>
      </c>
      <c r="E737">
        <f t="shared" si="331"/>
        <v>5.4763155037461115E-3</v>
      </c>
      <c r="F737">
        <f t="shared" si="331"/>
        <v>-4.9160979270886796E-3</v>
      </c>
      <c r="G737">
        <f t="shared" si="331"/>
        <v>-2.4474984670699695E-2</v>
      </c>
      <c r="H737">
        <f t="shared" si="331"/>
        <v>3.1254291278034496E-3</v>
      </c>
      <c r="I737">
        <f t="shared" si="331"/>
        <v>7.2969589241866049E-4</v>
      </c>
      <c r="J737">
        <f t="shared" si="331"/>
        <v>1.7369578791244893E-3</v>
      </c>
      <c r="K737">
        <f t="shared" si="331"/>
        <v>2.5065419221564213E-3</v>
      </c>
    </row>
    <row r="738" spans="1:11">
      <c r="A738" s="1">
        <v>45776</v>
      </c>
      <c r="B738">
        <f t="shared" ref="B738:K738" si="332">B333-B$399</f>
        <v>-1.6474189481887002E-3</v>
      </c>
      <c r="C738">
        <f t="shared" si="332"/>
        <v>7.2872113595330804E-3</v>
      </c>
      <c r="D738">
        <f t="shared" si="332"/>
        <v>6.4045196322140155E-3</v>
      </c>
      <c r="E738">
        <f t="shared" si="332"/>
        <v>1.1185109944925666E-2</v>
      </c>
      <c r="F738">
        <f t="shared" si="332"/>
        <v>4.4771576291508085E-3</v>
      </c>
      <c r="G738">
        <f t="shared" si="332"/>
        <v>-1.2691144246626557E-3</v>
      </c>
      <c r="H738">
        <f t="shared" si="332"/>
        <v>4.3884769825969254E-3</v>
      </c>
      <c r="I738">
        <f t="shared" si="332"/>
        <v>1.0978664964679799E-2</v>
      </c>
      <c r="J738">
        <f t="shared" si="332"/>
        <v>1.9985754262888799E-2</v>
      </c>
      <c r="K738">
        <f t="shared" si="332"/>
        <v>-2.7155974835398476E-3</v>
      </c>
    </row>
    <row r="739" spans="1:11">
      <c r="A739" s="1">
        <v>45777</v>
      </c>
      <c r="B739">
        <f t="shared" ref="B739:K739" si="333">B334-B$399</f>
        <v>6.811453816471141E-3</v>
      </c>
      <c r="C739">
        <f t="shared" si="333"/>
        <v>2.2512143767879308E-3</v>
      </c>
      <c r="D739">
        <f t="shared" si="333"/>
        <v>2.1379516097321948E-3</v>
      </c>
      <c r="E739">
        <f t="shared" si="333"/>
        <v>2.8433908418137887E-3</v>
      </c>
      <c r="F739">
        <f t="shared" si="333"/>
        <v>-1.934838418705763E-2</v>
      </c>
      <c r="G739">
        <f t="shared" si="333"/>
        <v>-4.8534973276252464E-3</v>
      </c>
      <c r="H739">
        <f t="shared" si="333"/>
        <v>9.7323956895382108E-3</v>
      </c>
      <c r="I739">
        <f t="shared" si="333"/>
        <v>-5.6914628233678773E-2</v>
      </c>
      <c r="J739">
        <f t="shared" si="333"/>
        <v>-3.5324627653888482E-2</v>
      </c>
      <c r="K739">
        <f t="shared" si="333"/>
        <v>1.6649216437054901E-2</v>
      </c>
    </row>
    <row r="740" spans="1:11">
      <c r="A740" s="1">
        <v>45778</v>
      </c>
      <c r="B740">
        <f t="shared" ref="B740:K740" si="334">B335-B$399</f>
        <v>-1.9118597354926214E-3</v>
      </c>
      <c r="C740">
        <f t="shared" si="334"/>
        <v>-1.7880552110860096E-2</v>
      </c>
      <c r="D740">
        <f t="shared" si="334"/>
        <v>7.5295344093937913E-2</v>
      </c>
      <c r="E740">
        <f t="shared" si="334"/>
        <v>-1.0116227942377743E-3</v>
      </c>
      <c r="F740">
        <f t="shared" si="334"/>
        <v>6.8468244412324252E-3</v>
      </c>
      <c r="G740">
        <f t="shared" si="334"/>
        <v>2.0760756663977309E-2</v>
      </c>
      <c r="H740">
        <f t="shared" si="334"/>
        <v>-1.4696104719215007E-2</v>
      </c>
      <c r="I740">
        <f t="shared" si="334"/>
        <v>2.4140423402608902E-2</v>
      </c>
      <c r="J740">
        <f t="shared" si="334"/>
        <v>-7.3391036716258691E-3</v>
      </c>
      <c r="K740">
        <f t="shared" si="334"/>
        <v>-5.3817933630215401E-3</v>
      </c>
    </row>
    <row r="741" spans="1:11">
      <c r="A741" s="1">
        <v>45779</v>
      </c>
      <c r="B741">
        <f t="shared" ref="B741:K741" si="335">B336-B$399</f>
        <v>1.4050439417137189E-2</v>
      </c>
      <c r="C741">
        <f t="shared" si="335"/>
        <v>4.536621804010205E-3</v>
      </c>
      <c r="D741">
        <f t="shared" si="335"/>
        <v>2.2267026869750031E-2</v>
      </c>
      <c r="E741">
        <f t="shared" si="335"/>
        <v>1.7751391685935595E-2</v>
      </c>
      <c r="F741">
        <f t="shared" si="335"/>
        <v>3.2704950336630248E-2</v>
      </c>
      <c r="G741">
        <f t="shared" si="335"/>
        <v>2.195749785469453E-2</v>
      </c>
      <c r="H741">
        <f t="shared" si="335"/>
        <v>1.7741602346653695E-3</v>
      </c>
      <c r="I741">
        <f t="shared" si="335"/>
        <v>3.2334751217614081E-2</v>
      </c>
      <c r="J741">
        <f t="shared" si="335"/>
        <v>2.2321829827686445E-2</v>
      </c>
      <c r="K741">
        <f t="shared" si="335"/>
        <v>1.793494117686438E-2</v>
      </c>
    </row>
    <row r="742" spans="1:11">
      <c r="A742" s="1">
        <v>45782</v>
      </c>
      <c r="B742">
        <f t="shared" ref="B742:K742" si="336">B337-B$399</f>
        <v>5.3902349004283975E-3</v>
      </c>
      <c r="C742">
        <f t="shared" si="336"/>
        <v>1.8460418081583463E-4</v>
      </c>
      <c r="D742">
        <f t="shared" si="336"/>
        <v>1.0864516007740442E-3</v>
      </c>
      <c r="E742">
        <f t="shared" si="336"/>
        <v>-2.1952775934266085E-2</v>
      </c>
      <c r="F742">
        <f t="shared" si="336"/>
        <v>-2.0700144553843822E-2</v>
      </c>
      <c r="G742">
        <f t="shared" si="336"/>
        <v>-9.8751345549940601E-3</v>
      </c>
      <c r="H742">
        <f t="shared" si="336"/>
        <v>-1.2882350238270666E-2</v>
      </c>
      <c r="I742">
        <f t="shared" si="336"/>
        <v>-3.6121805364443767E-2</v>
      </c>
      <c r="J742">
        <f t="shared" si="336"/>
        <v>-2.5725005508789357E-2</v>
      </c>
      <c r="K742">
        <f t="shared" si="336"/>
        <v>-9.611642728578243E-3</v>
      </c>
    </row>
    <row r="743" spans="1:11">
      <c r="A743" s="1">
        <v>45783</v>
      </c>
      <c r="B743">
        <f t="shared" ref="B743:K743" si="337">B338-B$399</f>
        <v>-2.6833033591163124E-3</v>
      </c>
      <c r="C743">
        <f t="shared" si="337"/>
        <v>-2.3424962707835817E-4</v>
      </c>
      <c r="D743">
        <f t="shared" si="337"/>
        <v>-7.5152979239280068E-3</v>
      </c>
      <c r="E743">
        <f t="shared" si="337"/>
        <v>6.428436302766149E-4</v>
      </c>
      <c r="F743">
        <f t="shared" si="337"/>
        <v>-4.9414933462428191E-3</v>
      </c>
      <c r="G743">
        <f t="shared" si="337"/>
        <v>-6.3962383338347934E-3</v>
      </c>
      <c r="H743">
        <f t="shared" si="337"/>
        <v>-9.1937241458870372E-3</v>
      </c>
      <c r="I743">
        <f t="shared" si="337"/>
        <v>1.3371113986778141E-2</v>
      </c>
      <c r="J743">
        <f t="shared" si="337"/>
        <v>-1.9046205441438358E-2</v>
      </c>
      <c r="K743">
        <f t="shared" si="337"/>
        <v>-6.329248273304792E-3</v>
      </c>
    </row>
    <row r="744" spans="1:11">
      <c r="A744" s="1">
        <v>45784</v>
      </c>
      <c r="B744">
        <f t="shared" ref="B744:K744" si="338">B339-B$399</f>
        <v>-2.1528125488651738E-3</v>
      </c>
      <c r="C744">
        <f t="shared" si="338"/>
        <v>8.9681489177491584E-3</v>
      </c>
      <c r="D744">
        <f t="shared" si="338"/>
        <v>-8.6584300923007952E-4</v>
      </c>
      <c r="E744">
        <f t="shared" si="338"/>
        <v>1.3017561005230828E-2</v>
      </c>
      <c r="F744">
        <f t="shared" si="338"/>
        <v>2.8163750719694472E-2</v>
      </c>
      <c r="G744">
        <f t="shared" si="338"/>
        <v>2.706600711512358E-2</v>
      </c>
      <c r="H744">
        <f t="shared" si="338"/>
        <v>9.3019969118955954E-3</v>
      </c>
      <c r="I744">
        <f t="shared" si="338"/>
        <v>-1.1898760360276126E-3</v>
      </c>
      <c r="J744">
        <f t="shared" si="338"/>
        <v>1.6328504756931254E-3</v>
      </c>
      <c r="K744">
        <f t="shared" si="338"/>
        <v>-5.6781116644902411E-3</v>
      </c>
    </row>
    <row r="745" spans="1:11">
      <c r="A745" s="1">
        <v>45785</v>
      </c>
      <c r="B745">
        <f t="shared" ref="B745:K745" si="339">B340-B$399</f>
        <v>3.308726177489469E-2</v>
      </c>
      <c r="C745">
        <f t="shared" si="339"/>
        <v>-1.750221198392549E-2</v>
      </c>
      <c r="D745">
        <f t="shared" si="339"/>
        <v>1.0164421372160351E-2</v>
      </c>
      <c r="E745">
        <f t="shared" si="339"/>
        <v>-1.2061044630983729E-2</v>
      </c>
      <c r="F745">
        <f t="shared" si="339"/>
        <v>5.4110265823485004E-3</v>
      </c>
      <c r="G745">
        <f t="shared" si="339"/>
        <v>-1.2880074546056126E-3</v>
      </c>
      <c r="H745">
        <f t="shared" si="339"/>
        <v>-3.4377729751833264E-3</v>
      </c>
      <c r="I745">
        <f t="shared" si="339"/>
        <v>-6.6312810548988608E-3</v>
      </c>
      <c r="J745">
        <f t="shared" si="339"/>
        <v>2.9607878055207437E-2</v>
      </c>
      <c r="K745">
        <f t="shared" si="339"/>
        <v>9.5901447259141709E-3</v>
      </c>
    </row>
    <row r="746" spans="1:11">
      <c r="A746" s="1">
        <v>45786</v>
      </c>
      <c r="B746">
        <f t="shared" ref="B746:K746" si="340">B341-B$399</f>
        <v>1.643020972361748E-2</v>
      </c>
      <c r="C746">
        <f t="shared" si="340"/>
        <v>-9.6462237741065712E-3</v>
      </c>
      <c r="D746">
        <f t="shared" si="340"/>
        <v>3.1987708252524726E-4</v>
      </c>
      <c r="E746">
        <f t="shared" si="340"/>
        <v>-6.2367012778182223E-3</v>
      </c>
      <c r="F746">
        <f t="shared" si="340"/>
        <v>-9.8909306594291303E-3</v>
      </c>
      <c r="G746">
        <f t="shared" si="340"/>
        <v>-1.0070747449986652E-2</v>
      </c>
      <c r="H746">
        <f t="shared" si="340"/>
        <v>-7.2558859733962118E-3</v>
      </c>
      <c r="I746">
        <f t="shared" si="340"/>
        <v>-2.3339720328132706E-2</v>
      </c>
      <c r="J746">
        <f t="shared" si="340"/>
        <v>4.5660958094895079E-2</v>
      </c>
      <c r="K746">
        <f t="shared" si="340"/>
        <v>-1.0268231565430806E-3</v>
      </c>
    </row>
    <row r="747" spans="1:11">
      <c r="A747" s="1">
        <v>45789</v>
      </c>
      <c r="B747">
        <f t="shared" ref="B747:K747" si="341">B342-B$399</f>
        <v>1.8884521452874954E-2</v>
      </c>
      <c r="C747">
        <f t="shared" si="341"/>
        <v>-1.4551747083625338E-2</v>
      </c>
      <c r="D747">
        <f t="shared" si="341"/>
        <v>2.3042837053824719E-2</v>
      </c>
      <c r="E747">
        <f t="shared" si="341"/>
        <v>-2.9061573887618593E-2</v>
      </c>
      <c r="F747">
        <f t="shared" si="341"/>
        <v>7.387732957989547E-2</v>
      </c>
      <c r="G747">
        <f t="shared" si="341"/>
        <v>5.0500132615414139E-2</v>
      </c>
      <c r="H747">
        <f t="shared" si="341"/>
        <v>9.782797950534829E-3</v>
      </c>
      <c r="I747">
        <f t="shared" si="341"/>
        <v>6.6529944638904367E-2</v>
      </c>
      <c r="J747">
        <f t="shared" si="341"/>
        <v>6.5931157281580458E-2</v>
      </c>
      <c r="K747">
        <f t="shared" si="341"/>
        <v>-5.9126330537309793E-3</v>
      </c>
    </row>
    <row r="748" spans="1:11">
      <c r="A748" s="1">
        <v>45790</v>
      </c>
      <c r="B748">
        <f t="shared" ref="B748:K748" si="342">B343-B$399</f>
        <v>2.4629272028419531E-2</v>
      </c>
      <c r="C748">
        <f t="shared" si="342"/>
        <v>-8.7111418837402862E-3</v>
      </c>
      <c r="D748">
        <f t="shared" si="342"/>
        <v>-1.2252447447892302E-3</v>
      </c>
      <c r="E748">
        <f t="shared" si="342"/>
        <v>2.3063627122731193E-2</v>
      </c>
      <c r="F748">
        <f t="shared" si="342"/>
        <v>-2.5722398144243249E-3</v>
      </c>
      <c r="G748">
        <f t="shared" si="342"/>
        <v>5.2405152010357836E-2</v>
      </c>
      <c r="H748">
        <f t="shared" si="342"/>
        <v>-1.0127440890200677E-2</v>
      </c>
      <c r="I748">
        <f t="shared" si="342"/>
        <v>1.3779673733410705E-2</v>
      </c>
      <c r="J748">
        <f t="shared" si="342"/>
        <v>4.7753993870284075E-2</v>
      </c>
      <c r="K748">
        <f t="shared" si="342"/>
        <v>-1.1273824239569533E-2</v>
      </c>
    </row>
    <row r="749" spans="1:11">
      <c r="A749" s="1">
        <v>45791</v>
      </c>
      <c r="B749">
        <f t="shared" ref="B749:K749" si="343">B344-B$399</f>
        <v>6.3889705908992175E-3</v>
      </c>
      <c r="C749">
        <f t="shared" si="343"/>
        <v>2.3871098368118356E-3</v>
      </c>
      <c r="D749">
        <f t="shared" si="343"/>
        <v>7.5023261195264071E-3</v>
      </c>
      <c r="E749">
        <f t="shared" si="343"/>
        <v>8.4659589541405417E-3</v>
      </c>
      <c r="F749">
        <f t="shared" si="343"/>
        <v>-1.0114726713061005E-2</v>
      </c>
      <c r="G749">
        <f t="shared" si="343"/>
        <v>3.770153474742316E-2</v>
      </c>
      <c r="H749">
        <f t="shared" si="343"/>
        <v>-1.3997015149041834E-2</v>
      </c>
      <c r="I749">
        <f t="shared" si="343"/>
        <v>-4.2576122106129464E-3</v>
      </c>
      <c r="J749">
        <f t="shared" si="343"/>
        <v>3.9213173179896435E-2</v>
      </c>
      <c r="K749">
        <f t="shared" si="343"/>
        <v>-3.4646214757992487E-3</v>
      </c>
    </row>
    <row r="750" spans="1:11">
      <c r="A750" s="1">
        <v>45792</v>
      </c>
      <c r="B750">
        <f t="shared" ref="B750:K750" si="344">B345-B$399</f>
        <v>7.4230329494228749E-3</v>
      </c>
      <c r="C750">
        <f t="shared" si="344"/>
        <v>3.4911869188970761E-2</v>
      </c>
      <c r="D750">
        <f t="shared" si="344"/>
        <v>1.2979276082241285E-3</v>
      </c>
      <c r="E750">
        <f t="shared" si="344"/>
        <v>2.0891428363926604E-2</v>
      </c>
      <c r="F750">
        <f t="shared" si="344"/>
        <v>1.1317684102084237E-2</v>
      </c>
      <c r="G750">
        <f t="shared" si="344"/>
        <v>-7.7045377241813946E-3</v>
      </c>
      <c r="H750">
        <f t="shared" si="344"/>
        <v>2.4021252377111838E-2</v>
      </c>
      <c r="I750">
        <f t="shared" si="344"/>
        <v>7.9755888996152404E-3</v>
      </c>
      <c r="J750">
        <f t="shared" si="344"/>
        <v>-1.5505075834868865E-2</v>
      </c>
      <c r="K750">
        <f t="shared" si="344"/>
        <v>2.1184185702724664E-2</v>
      </c>
    </row>
    <row r="751" spans="1:11">
      <c r="A751" s="1">
        <v>45793</v>
      </c>
      <c r="B751">
        <f t="shared" ref="B751:K751" si="345">B346-B$399</f>
        <v>-2.0382166203602391E-3</v>
      </c>
      <c r="C751">
        <f t="shared" si="345"/>
        <v>4.9329489151841936E-3</v>
      </c>
      <c r="D751">
        <f t="shared" si="345"/>
        <v>1.5575954745201824E-3</v>
      </c>
      <c r="E751">
        <f t="shared" si="345"/>
        <v>8.9448419117491035E-3</v>
      </c>
      <c r="F751">
        <f t="shared" si="345"/>
        <v>1.1842075534032393E-2</v>
      </c>
      <c r="G751">
        <f t="shared" si="345"/>
        <v>2.912995969150383E-4</v>
      </c>
      <c r="H751">
        <f t="shared" si="345"/>
        <v>3.9267936769428217E-3</v>
      </c>
      <c r="I751">
        <f t="shared" si="345"/>
        <v>-1.2808208232412474E-2</v>
      </c>
      <c r="J751">
        <f t="shared" si="345"/>
        <v>1.9358859419089724E-2</v>
      </c>
      <c r="K751">
        <f t="shared" si="345"/>
        <v>5.4899350439508296E-3</v>
      </c>
    </row>
    <row r="752" spans="1:11">
      <c r="A752" s="1">
        <v>45796</v>
      </c>
      <c r="B752">
        <f t="shared" ref="B752:K752" si="346">B347-B$399</f>
        <v>-2.7712088301550752E-3</v>
      </c>
      <c r="C752">
        <f t="shared" si="346"/>
        <v>-1.4853906971630851E-3</v>
      </c>
      <c r="D752">
        <f t="shared" si="346"/>
        <v>9.1679463342164841E-3</v>
      </c>
      <c r="E752">
        <f t="shared" si="346"/>
        <v>-2.4656357279461672E-3</v>
      </c>
      <c r="F752">
        <f t="shared" si="346"/>
        <v>-1.5856759816796781E-2</v>
      </c>
      <c r="G752">
        <f t="shared" si="346"/>
        <v>-2.6806418724419374E-3</v>
      </c>
      <c r="H752">
        <f t="shared" si="346"/>
        <v>-1.1630606843362457E-3</v>
      </c>
      <c r="I752">
        <f t="shared" si="346"/>
        <v>-1.1563126412233346E-2</v>
      </c>
      <c r="J752">
        <f t="shared" si="346"/>
        <v>-2.4070933283685193E-2</v>
      </c>
      <c r="K752">
        <f t="shared" si="346"/>
        <v>5.6763383149179133E-3</v>
      </c>
    </row>
    <row r="753" spans="1:11">
      <c r="A753" s="1">
        <v>45797</v>
      </c>
      <c r="B753">
        <f t="shared" ref="B753:K753" si="347">B348-B$399</f>
        <v>1.1788727290954875E-2</v>
      </c>
      <c r="C753">
        <f t="shared" si="347"/>
        <v>-3.8497529541316514E-3</v>
      </c>
      <c r="D753">
        <f t="shared" si="347"/>
        <v>-2.4836504191476506E-3</v>
      </c>
      <c r="E753">
        <f t="shared" si="347"/>
        <v>-2.2390493632430931E-3</v>
      </c>
      <c r="F753">
        <f t="shared" si="347"/>
        <v>8.1958339046425254E-3</v>
      </c>
      <c r="G753">
        <f t="shared" si="347"/>
        <v>-1.2714072249873367E-2</v>
      </c>
      <c r="H753">
        <f t="shared" si="347"/>
        <v>3.5255350109187017E-4</v>
      </c>
      <c r="I753">
        <f t="shared" si="347"/>
        <v>1.1238252725936362E-2</v>
      </c>
      <c r="J753">
        <f t="shared" si="347"/>
        <v>3.5304341164411161E-3</v>
      </c>
      <c r="K753">
        <f t="shared" si="347"/>
        <v>-4.4623427861140855E-3</v>
      </c>
    </row>
    <row r="754" spans="1:11">
      <c r="A754" s="1">
        <v>45798</v>
      </c>
      <c r="B754">
        <f t="shared" ref="B754:K754" si="348">B349-B$399</f>
        <v>-2.1478103018114862E-2</v>
      </c>
      <c r="C754">
        <f t="shared" si="348"/>
        <v>1.7185847784698068E-3</v>
      </c>
      <c r="D754">
        <f t="shared" si="348"/>
        <v>-1.3180754234624489E-2</v>
      </c>
      <c r="E754">
        <f t="shared" si="348"/>
        <v>-3.6839345851496846E-4</v>
      </c>
      <c r="F754">
        <f t="shared" si="348"/>
        <v>-4.0776534323178501E-2</v>
      </c>
      <c r="G754">
        <f t="shared" si="348"/>
        <v>-2.3135524856784884E-2</v>
      </c>
      <c r="H754">
        <f t="shared" si="348"/>
        <v>-1.2242524518009E-2</v>
      </c>
      <c r="I754">
        <f t="shared" si="348"/>
        <v>-3.0838387859179927E-2</v>
      </c>
      <c r="J754">
        <f t="shared" si="348"/>
        <v>-2.8284969114337356E-2</v>
      </c>
      <c r="K754">
        <f t="shared" si="348"/>
        <v>-6.8106973590093692E-3</v>
      </c>
    </row>
    <row r="755" spans="1:11">
      <c r="A755" s="1">
        <v>45799</v>
      </c>
      <c r="B755">
        <f t="shared" ref="B755:K755" si="349">B350-B$399</f>
        <v>9.8242530408349524E-4</v>
      </c>
      <c r="C755">
        <f t="shared" si="349"/>
        <v>-1.0394881609101686E-2</v>
      </c>
      <c r="D755">
        <f t="shared" si="349"/>
        <v>4.1017383016950385E-3</v>
      </c>
      <c r="E755">
        <f t="shared" si="349"/>
        <v>-8.1329181918672871E-3</v>
      </c>
      <c r="F755">
        <f t="shared" si="349"/>
        <v>2.2804686049004888E-2</v>
      </c>
      <c r="G755">
        <f t="shared" si="349"/>
        <v>3.8786866238213463E-3</v>
      </c>
      <c r="H755">
        <f t="shared" si="349"/>
        <v>4.617164778142563E-5</v>
      </c>
      <c r="I755">
        <f t="shared" si="349"/>
        <v>1.1586307508635643E-2</v>
      </c>
      <c r="J755">
        <f t="shared" si="349"/>
        <v>1.7659235914567372E-2</v>
      </c>
      <c r="K755">
        <f t="shared" si="349"/>
        <v>-9.5827761553414909E-3</v>
      </c>
    </row>
    <row r="756" spans="1:11">
      <c r="A756" s="1">
        <v>45800</v>
      </c>
      <c r="B756">
        <f t="shared" ref="B756:K756" si="350">B351-B$399</f>
        <v>-5.163766191836611E-3</v>
      </c>
      <c r="C756">
        <f t="shared" si="350"/>
        <v>8.3425381373781141E-3</v>
      </c>
      <c r="D756">
        <f t="shared" si="350"/>
        <v>-1.1247068109419875E-2</v>
      </c>
      <c r="E756">
        <f t="shared" si="350"/>
        <v>-4.7296767877950657E-3</v>
      </c>
      <c r="F756">
        <f t="shared" si="350"/>
        <v>-2.0736333613033495E-2</v>
      </c>
      <c r="G756">
        <f t="shared" si="350"/>
        <v>-1.5530085658686356E-2</v>
      </c>
      <c r="H756">
        <f t="shared" si="350"/>
        <v>-5.7179065744139531E-3</v>
      </c>
      <c r="I756">
        <f t="shared" si="350"/>
        <v>4.7766281153186398E-3</v>
      </c>
      <c r="J756">
        <f t="shared" si="350"/>
        <v>-6.5115349469171864E-3</v>
      </c>
      <c r="K756">
        <f t="shared" si="350"/>
        <v>2.3802937610973153E-3</v>
      </c>
    </row>
    <row r="757" spans="1:11">
      <c r="A757" s="1">
        <v>45804</v>
      </c>
      <c r="B757">
        <f t="shared" ref="B757:K757" si="351">B352-B$399</f>
        <v>-6.5742173548768938E-3</v>
      </c>
      <c r="C757">
        <f t="shared" si="351"/>
        <v>-3.7380572841011961E-4</v>
      </c>
      <c r="D757">
        <f t="shared" si="351"/>
        <v>2.2388035356032857E-2</v>
      </c>
      <c r="E757">
        <f t="shared" si="351"/>
        <v>1.95275586865476E-2</v>
      </c>
      <c r="F757">
        <f t="shared" si="351"/>
        <v>4.7281652288812329E-2</v>
      </c>
      <c r="G757">
        <f t="shared" si="351"/>
        <v>2.8130116388124182E-2</v>
      </c>
      <c r="H757">
        <f t="shared" si="351"/>
        <v>1.5971576389115619E-2</v>
      </c>
      <c r="I757">
        <f t="shared" si="351"/>
        <v>3.0579925340590387E-2</v>
      </c>
      <c r="J757">
        <f t="shared" si="351"/>
        <v>6.7872730359879244E-2</v>
      </c>
      <c r="K757">
        <f t="shared" si="351"/>
        <v>1.1043400968843861E-2</v>
      </c>
    </row>
    <row r="758" spans="1:11">
      <c r="A758" s="1">
        <v>45805</v>
      </c>
      <c r="B758">
        <f t="shared" ref="B758:K758" si="352">B353-B$399</f>
        <v>2.3362024160402174E-3</v>
      </c>
      <c r="C758">
        <f t="shared" si="352"/>
        <v>-9.2899727555366182E-3</v>
      </c>
      <c r="D758">
        <f t="shared" si="352"/>
        <v>-8.186528845902194E-3</v>
      </c>
      <c r="E758">
        <f t="shared" si="352"/>
        <v>-5.0504907141111759E-3</v>
      </c>
      <c r="F758">
        <f t="shared" si="352"/>
        <v>-1.6247916732356468E-2</v>
      </c>
      <c r="G758">
        <f t="shared" si="352"/>
        <v>-9.0284270186049027E-3</v>
      </c>
      <c r="H758">
        <f t="shared" si="352"/>
        <v>-5.051840365730695E-3</v>
      </c>
      <c r="I758">
        <f t="shared" si="352"/>
        <v>-1.1952137380035763E-2</v>
      </c>
      <c r="J758">
        <f t="shared" si="352"/>
        <v>-1.8033182619115396E-2</v>
      </c>
      <c r="K758">
        <f t="shared" si="352"/>
        <v>-5.9487361335681258E-3</v>
      </c>
    </row>
    <row r="759" spans="1:11">
      <c r="A759" s="1">
        <v>45806</v>
      </c>
      <c r="B759">
        <f t="shared" ref="B759:K759" si="353">B354-B$399</f>
        <v>3.3149565236850927E-2</v>
      </c>
      <c r="C759">
        <f t="shared" si="353"/>
        <v>4.265346432800016E-3</v>
      </c>
      <c r="D759">
        <f t="shared" si="353"/>
        <v>1.9279414100042002E-3</v>
      </c>
      <c r="E759">
        <f t="shared" si="353"/>
        <v>-2.2159995842238763E-2</v>
      </c>
      <c r="F759">
        <f t="shared" si="353"/>
        <v>-5.0395251224179972E-3</v>
      </c>
      <c r="G759">
        <f t="shared" si="353"/>
        <v>2.8553943995383413E-2</v>
      </c>
      <c r="H759">
        <f t="shared" si="353"/>
        <v>9.8426838225006436E-3</v>
      </c>
      <c r="I759">
        <f t="shared" si="353"/>
        <v>-2.3018635067189163E-2</v>
      </c>
      <c r="J759">
        <f t="shared" si="353"/>
        <v>2.7601649987190717E-3</v>
      </c>
      <c r="K759">
        <f t="shared" si="353"/>
        <v>1.3026034417062113E-2</v>
      </c>
    </row>
    <row r="760" spans="1:11">
      <c r="A760" s="1">
        <v>45807</v>
      </c>
      <c r="B760">
        <f t="shared" ref="B760:K760" si="354">B355-B$399</f>
        <v>-4.1327334057542024E-3</v>
      </c>
      <c r="C760">
        <f t="shared" si="354"/>
        <v>8.0195235040184058E-3</v>
      </c>
      <c r="D760">
        <f t="shared" si="354"/>
        <v>2.7044645295053603E-3</v>
      </c>
      <c r="E760">
        <f t="shared" si="354"/>
        <v>1.6321922064372277E-2</v>
      </c>
      <c r="F760">
        <f t="shared" si="354"/>
        <v>-1.3370710237018512E-2</v>
      </c>
      <c r="G760">
        <f t="shared" si="354"/>
        <v>-3.3105049634692352E-2</v>
      </c>
      <c r="H760">
        <f t="shared" si="354"/>
        <v>-3.2861067811342771E-3</v>
      </c>
      <c r="I760">
        <f t="shared" si="354"/>
        <v>-1.5340925178092355E-3</v>
      </c>
      <c r="J760">
        <f t="shared" si="354"/>
        <v>-3.4922392950525946E-2</v>
      </c>
      <c r="K760">
        <f t="shared" si="354"/>
        <v>3.3247382057580012E-3</v>
      </c>
    </row>
    <row r="761" spans="1:11">
      <c r="A761" s="1">
        <v>45810</v>
      </c>
      <c r="B761">
        <f t="shared" ref="B761:K761" si="355">B356-B$399</f>
        <v>2.0015571134558825E-2</v>
      </c>
      <c r="C761">
        <f t="shared" si="355"/>
        <v>-1.9001950027297035E-3</v>
      </c>
      <c r="D761">
        <f t="shared" si="355"/>
        <v>2.5390938087544034E-3</v>
      </c>
      <c r="E761">
        <f t="shared" si="355"/>
        <v>7.175083635635739E-3</v>
      </c>
      <c r="F761">
        <f t="shared" si="355"/>
        <v>2.3391316771302587E-2</v>
      </c>
      <c r="G761">
        <f t="shared" si="355"/>
        <v>1.2714404527402743E-2</v>
      </c>
      <c r="H761">
        <f t="shared" si="355"/>
        <v>-3.8313985512448113E-3</v>
      </c>
      <c r="I761">
        <f t="shared" si="355"/>
        <v>1.4426510865972788E-2</v>
      </c>
      <c r="J761">
        <f t="shared" si="355"/>
        <v>-1.2408202355059839E-2</v>
      </c>
      <c r="K761">
        <f t="shared" si="355"/>
        <v>1.6975725555899292E-3</v>
      </c>
    </row>
    <row r="762" spans="1:11">
      <c r="A762" s="1">
        <v>45811</v>
      </c>
      <c r="B762">
        <f t="shared" ref="B762:K762" si="356">B357-B$399</f>
        <v>9.2666505145623853E-3</v>
      </c>
      <c r="C762">
        <f t="shared" si="356"/>
        <v>-1.2179736680150438E-2</v>
      </c>
      <c r="D762">
        <f t="shared" si="356"/>
        <v>1.2064389347590386E-3</v>
      </c>
      <c r="E762">
        <f t="shared" si="356"/>
        <v>-3.4111460950357309E-3</v>
      </c>
      <c r="F762">
        <f t="shared" si="356"/>
        <v>1.3457230510728902E-2</v>
      </c>
      <c r="G762">
        <f t="shared" si="356"/>
        <v>2.4015325649674402E-2</v>
      </c>
      <c r="H762">
        <f t="shared" si="356"/>
        <v>7.4570657905966868E-3</v>
      </c>
      <c r="I762">
        <f t="shared" si="356"/>
        <v>1.6206939415995037E-2</v>
      </c>
      <c r="J762">
        <f t="shared" si="356"/>
        <v>3.0837950188223433E-3</v>
      </c>
      <c r="K762">
        <f t="shared" si="356"/>
        <v>-1.1828080667727295E-2</v>
      </c>
    </row>
    <row r="763" spans="1:11">
      <c r="A763" s="1">
        <v>45812</v>
      </c>
      <c r="B763">
        <f t="shared" ref="B763:K763" si="357">B358-B$399</f>
        <v>-6.795545674372622E-3</v>
      </c>
      <c r="C763">
        <f t="shared" si="357"/>
        <v>2.4378128470248736E-3</v>
      </c>
      <c r="D763">
        <f t="shared" si="357"/>
        <v>9.8575347788988675E-4</v>
      </c>
      <c r="E763">
        <f t="shared" si="357"/>
        <v>1.5275526126063145E-2</v>
      </c>
      <c r="F763">
        <f t="shared" si="357"/>
        <v>6.8772662464150602E-3</v>
      </c>
      <c r="G763">
        <f t="shared" si="357"/>
        <v>1.0205488487433061E-3</v>
      </c>
      <c r="H763">
        <f t="shared" si="357"/>
        <v>-5.5772728639180474E-4</v>
      </c>
      <c r="I763">
        <f t="shared" si="357"/>
        <v>1.709226263431295E-2</v>
      </c>
      <c r="J763">
        <f t="shared" si="357"/>
        <v>-3.7022147490490417E-2</v>
      </c>
      <c r="K763">
        <f t="shared" si="357"/>
        <v>-1.456666687982984E-2</v>
      </c>
    </row>
    <row r="764" spans="1:11">
      <c r="A764" s="1">
        <v>45813</v>
      </c>
      <c r="B764">
        <f t="shared" ref="B764:K764" si="358">B359-B$399</f>
        <v>-1.396530462028705E-2</v>
      </c>
      <c r="C764">
        <f t="shared" si="358"/>
        <v>-6.9584321382846811E-3</v>
      </c>
      <c r="D764">
        <f t="shared" si="358"/>
        <v>7.2552991330330366E-3</v>
      </c>
      <c r="E764">
        <f t="shared" si="358"/>
        <v>6.2025128097860666E-3</v>
      </c>
      <c r="F764">
        <f t="shared" si="358"/>
        <v>-1.129252258391432E-3</v>
      </c>
      <c r="G764">
        <f t="shared" si="358"/>
        <v>-1.7535390991941069E-2</v>
      </c>
      <c r="H764">
        <f t="shared" si="358"/>
        <v>-4.5056104082369349E-3</v>
      </c>
      <c r="I764">
        <f t="shared" si="358"/>
        <v>-1.3055666530134022E-2</v>
      </c>
      <c r="J764">
        <f t="shared" si="358"/>
        <v>-0.1441256846473889</v>
      </c>
      <c r="K764">
        <f t="shared" si="358"/>
        <v>-6.3912017086765341E-3</v>
      </c>
    </row>
    <row r="765" spans="1:11">
      <c r="A765" s="1">
        <v>45814</v>
      </c>
      <c r="B765">
        <f t="shared" ref="B765:K765" si="359">B360-B$399</f>
        <v>8.5141622966792892E-3</v>
      </c>
      <c r="C765">
        <f t="shared" si="359"/>
        <v>5.6917941230255013E-3</v>
      </c>
      <c r="D765">
        <f t="shared" si="359"/>
        <v>4.8150006479526089E-3</v>
      </c>
      <c r="E765">
        <f t="shared" si="359"/>
        <v>-9.7949700573619052E-3</v>
      </c>
      <c r="F765">
        <f t="shared" si="359"/>
        <v>2.5382767759817419E-3</v>
      </c>
      <c r="G765">
        <f t="shared" si="359"/>
        <v>8.4217259071780997E-3</v>
      </c>
      <c r="H765">
        <f t="shared" si="359"/>
        <v>2.9214345074278802E-3</v>
      </c>
      <c r="I765">
        <f t="shared" si="359"/>
        <v>3.0119037981271791E-2</v>
      </c>
      <c r="J765">
        <f t="shared" si="359"/>
        <v>3.5143439382425992E-2</v>
      </c>
      <c r="K765">
        <f t="shared" si="359"/>
        <v>4.3994711658868332E-3</v>
      </c>
    </row>
    <row r="766" spans="1:11">
      <c r="A766" s="1">
        <v>45817</v>
      </c>
      <c r="B766">
        <f t="shared" ref="B766:K766" si="360">B361-B$399</f>
        <v>3.1829315369153961E-2</v>
      </c>
      <c r="C766">
        <f t="shared" si="360"/>
        <v>5.3732141024829764E-3</v>
      </c>
      <c r="D766">
        <f t="shared" si="360"/>
        <v>4.080265309080359E-3</v>
      </c>
      <c r="E766">
        <f t="shared" si="360"/>
        <v>-1.6259448930615091E-2</v>
      </c>
      <c r="F766">
        <f t="shared" si="360"/>
        <v>-1.3708063050528839E-2</v>
      </c>
      <c r="G766">
        <f t="shared" si="360"/>
        <v>2.4848983744875635E-3</v>
      </c>
      <c r="H766">
        <f t="shared" si="360"/>
        <v>-2.6168921366364944E-4</v>
      </c>
      <c r="I766">
        <f t="shared" si="360"/>
        <v>1.1146140581023692E-2</v>
      </c>
      <c r="J766">
        <f t="shared" si="360"/>
        <v>4.4010866771835147E-2</v>
      </c>
      <c r="K766">
        <f t="shared" si="360"/>
        <v>-2.6799524390513987E-2</v>
      </c>
    </row>
    <row r="767" spans="1:11">
      <c r="A767" s="1">
        <v>45818</v>
      </c>
      <c r="B767">
        <f t="shared" ref="B767:K767" si="361">B362-B$399</f>
        <v>-8.1852895650761873E-3</v>
      </c>
      <c r="C767">
        <f t="shared" si="361"/>
        <v>7.5681681759052714E-3</v>
      </c>
      <c r="D767">
        <f t="shared" si="361"/>
        <v>-4.8291431237185009E-3</v>
      </c>
      <c r="E767">
        <f t="shared" si="361"/>
        <v>-1.9577661821125688E-2</v>
      </c>
      <c r="F767">
        <f t="shared" si="361"/>
        <v>3.2122746849905806E-2</v>
      </c>
      <c r="G767">
        <f t="shared" si="361"/>
        <v>5.388589823721977E-3</v>
      </c>
      <c r="H767">
        <f t="shared" si="361"/>
        <v>1.4665591544468783E-2</v>
      </c>
      <c r="I767">
        <f t="shared" si="361"/>
        <v>8.0378165594437914E-3</v>
      </c>
      <c r="J767">
        <f t="shared" si="361"/>
        <v>5.5217081513461899E-2</v>
      </c>
      <c r="K767">
        <f t="shared" si="361"/>
        <v>-1.511388838806689E-2</v>
      </c>
    </row>
    <row r="768" spans="1:11">
      <c r="A768" s="1">
        <v>45819</v>
      </c>
      <c r="B768">
        <f t="shared" ref="B768:K768" si="362">B363-B$399</f>
        <v>-8.0210268965502044E-3</v>
      </c>
      <c r="C768">
        <f t="shared" si="362"/>
        <v>-4.3832663164066806E-3</v>
      </c>
      <c r="D768">
        <f t="shared" si="362"/>
        <v>2.6517122110658741E-3</v>
      </c>
      <c r="E768">
        <f t="shared" si="362"/>
        <v>1.0951313561192779E-2</v>
      </c>
      <c r="F768">
        <f t="shared" si="362"/>
        <v>-1.1435242184055438E-2</v>
      </c>
      <c r="G768">
        <f t="shared" si="362"/>
        <v>-1.1716805466901516E-2</v>
      </c>
      <c r="H768">
        <f t="shared" si="362"/>
        <v>-1.4363539660100065E-2</v>
      </c>
      <c r="I768">
        <f t="shared" si="362"/>
        <v>4.2967561146678095E-2</v>
      </c>
      <c r="J768">
        <f t="shared" si="362"/>
        <v>-4.8410104002043555E-4</v>
      </c>
      <c r="K768">
        <f t="shared" si="362"/>
        <v>-3.6343344643566399E-3</v>
      </c>
    </row>
    <row r="769" spans="1:11">
      <c r="A769" s="1">
        <v>45820</v>
      </c>
      <c r="B769">
        <f t="shared" ref="B769:K769" si="363">B364-B$399</f>
        <v>-4.7898959440617776E-2</v>
      </c>
      <c r="C769">
        <f t="shared" si="363"/>
        <v>1.8456284130144393E-3</v>
      </c>
      <c r="D769">
        <f t="shared" si="363"/>
        <v>1.2265951063415118E-2</v>
      </c>
      <c r="E769">
        <f t="shared" si="363"/>
        <v>-6.533722580770283E-3</v>
      </c>
      <c r="F769">
        <f t="shared" si="363"/>
        <v>-4.4481780986948983E-3</v>
      </c>
      <c r="G769">
        <f t="shared" si="363"/>
        <v>1.1256618920709003E-2</v>
      </c>
      <c r="H769">
        <f t="shared" si="363"/>
        <v>1.8752409001954077E-2</v>
      </c>
      <c r="I769">
        <f t="shared" si="363"/>
        <v>-1.1561357532227987E-2</v>
      </c>
      <c r="J769">
        <f t="shared" si="363"/>
        <v>-2.3951179218231356E-2</v>
      </c>
      <c r="K769">
        <f t="shared" si="363"/>
        <v>1.6697599582620667E-2</v>
      </c>
    </row>
    <row r="770" spans="1:11">
      <c r="A770" s="1">
        <v>45821</v>
      </c>
      <c r="B770">
        <f t="shared" ref="B770:K770" si="364">B365-B$399</f>
        <v>-1.6836083060074163E-2</v>
      </c>
      <c r="C770">
        <f t="shared" si="364"/>
        <v>-1.0411414126789647E-2</v>
      </c>
      <c r="D770">
        <f t="shared" si="364"/>
        <v>-9.1232667500887737E-3</v>
      </c>
      <c r="E770">
        <f t="shared" si="364"/>
        <v>-4.9282575174015002E-3</v>
      </c>
      <c r="F770">
        <f t="shared" si="364"/>
        <v>-3.5682602618690482E-2</v>
      </c>
      <c r="G770">
        <f t="shared" si="364"/>
        <v>-2.4832798018667057E-2</v>
      </c>
      <c r="H770">
        <f t="shared" si="364"/>
        <v>-1.0683329134517082E-2</v>
      </c>
      <c r="I770">
        <f t="shared" si="364"/>
        <v>-1.1582563674381605E-2</v>
      </c>
      <c r="J770">
        <f t="shared" si="364"/>
        <v>1.7902329397850036E-2</v>
      </c>
      <c r="K770">
        <f t="shared" si="364"/>
        <v>-1.6577984772434509E-2</v>
      </c>
    </row>
    <row r="771" spans="1:11">
      <c r="A771" s="1">
        <v>45824</v>
      </c>
      <c r="B771">
        <f t="shared" ref="B771:K771" si="365">B366-B$399</f>
        <v>6.8871624079653356E-3</v>
      </c>
      <c r="C771">
        <f t="shared" si="365"/>
        <v>-7.5534675082698562E-3</v>
      </c>
      <c r="D771">
        <f t="shared" si="365"/>
        <v>7.8425863203717278E-3</v>
      </c>
      <c r="E771">
        <f t="shared" si="365"/>
        <v>8.3317591553329646E-3</v>
      </c>
      <c r="F771">
        <f t="shared" si="365"/>
        <v>2.3097352680137143E-2</v>
      </c>
      <c r="G771">
        <f t="shared" si="365"/>
        <v>1.5222730969125462E-2</v>
      </c>
      <c r="H771">
        <f t="shared" si="365"/>
        <v>4.5562778105422445E-3</v>
      </c>
      <c r="I771">
        <f t="shared" si="365"/>
        <v>2.0147574413958893E-3</v>
      </c>
      <c r="J771">
        <f t="shared" si="365"/>
        <v>1.0215921322763565E-2</v>
      </c>
      <c r="K771">
        <f t="shared" si="365"/>
        <v>4.3586101952635533E-3</v>
      </c>
    </row>
    <row r="772" spans="1:11">
      <c r="A772" s="1">
        <v>45825</v>
      </c>
      <c r="B772">
        <f t="shared" ref="B772:K772" si="366">B367-B$399</f>
        <v>-7.141091206672218E-3</v>
      </c>
      <c r="C772">
        <f t="shared" si="366"/>
        <v>-1.3275447812187762E-2</v>
      </c>
      <c r="D772">
        <f t="shared" si="366"/>
        <v>-3.2539963925903716E-3</v>
      </c>
      <c r="E772">
        <f t="shared" si="366"/>
        <v>-6.3772029300444549E-3</v>
      </c>
      <c r="F772">
        <f t="shared" si="366"/>
        <v>-3.0230790789781067E-2</v>
      </c>
      <c r="G772">
        <f t="shared" si="366"/>
        <v>-7.8757620364207654E-3</v>
      </c>
      <c r="H772">
        <f t="shared" si="366"/>
        <v>-1.5856205837433964E-2</v>
      </c>
      <c r="I772">
        <f t="shared" si="366"/>
        <v>-2.056255480615422E-2</v>
      </c>
      <c r="J772">
        <f t="shared" si="366"/>
        <v>-4.0356384254515529E-2</v>
      </c>
      <c r="K772">
        <f t="shared" si="366"/>
        <v>-8.3759329676010073E-4</v>
      </c>
    </row>
    <row r="773" spans="1:11">
      <c r="A773" s="1">
        <v>45826</v>
      </c>
      <c r="B773">
        <f t="shared" ref="B773:K773" si="367">B368-B$399</f>
        <v>-1.288502444840472E-2</v>
      </c>
      <c r="C773">
        <f t="shared" si="367"/>
        <v>-6.4023615222231264E-3</v>
      </c>
      <c r="D773">
        <f t="shared" si="367"/>
        <v>3.6438831742817844E-3</v>
      </c>
      <c r="E773">
        <f t="shared" si="367"/>
        <v>-1.2308057463414324E-3</v>
      </c>
      <c r="F773">
        <f t="shared" si="367"/>
        <v>-7.7027927161525834E-3</v>
      </c>
      <c r="G773">
        <f t="shared" si="367"/>
        <v>5.5003304688243087E-3</v>
      </c>
      <c r="H773">
        <f t="shared" si="367"/>
        <v>-1.4249054848883814E-3</v>
      </c>
      <c r="I773">
        <f t="shared" si="367"/>
        <v>7.1893485431725381E-3</v>
      </c>
      <c r="J773">
        <f t="shared" si="367"/>
        <v>1.6491213033158102E-2</v>
      </c>
      <c r="K773">
        <f t="shared" si="367"/>
        <v>-1.6773090248131815E-3</v>
      </c>
    </row>
    <row r="774" spans="1:11">
      <c r="A774" s="1">
        <v>45828</v>
      </c>
      <c r="B774">
        <f t="shared" ref="B774:K774" si="368">B369-B$399</f>
        <v>5.4110624172993334E-3</v>
      </c>
      <c r="C774">
        <f t="shared" si="368"/>
        <v>-5.8592848435110086E-3</v>
      </c>
      <c r="D774">
        <f t="shared" si="368"/>
        <v>-6.8719060916736371E-3</v>
      </c>
      <c r="E774">
        <f t="shared" si="368"/>
        <v>4.9034584680319199E-3</v>
      </c>
      <c r="F774">
        <f t="shared" si="368"/>
        <v>5.1690372281284602E-3</v>
      </c>
      <c r="G774">
        <f t="shared" si="368"/>
        <v>-1.5140472969244203E-2</v>
      </c>
      <c r="H774">
        <f t="shared" si="368"/>
        <v>2.7658707708522418E-4</v>
      </c>
      <c r="I774">
        <f t="shared" si="368"/>
        <v>8.7585219833864383E-3</v>
      </c>
      <c r="J774">
        <f t="shared" si="368"/>
        <v>-1.1851355989504382E-3</v>
      </c>
      <c r="K774">
        <f t="shared" si="368"/>
        <v>4.3387024454053921E-3</v>
      </c>
    </row>
    <row r="775" spans="1:11">
      <c r="A775" s="1">
        <v>45831</v>
      </c>
      <c r="B775">
        <f t="shared" ref="B775:K775" si="369">B370-B$399</f>
        <v>1.2878727681909735E-2</v>
      </c>
      <c r="C775">
        <f t="shared" si="369"/>
        <v>1.2560620337601908E-2</v>
      </c>
      <c r="D775">
        <f t="shared" si="369"/>
        <v>1.7056053050676714E-2</v>
      </c>
      <c r="E775">
        <f t="shared" si="369"/>
        <v>1.5413330462906995E-2</v>
      </c>
      <c r="F775">
        <f t="shared" si="369"/>
        <v>1.702181877744903E-2</v>
      </c>
      <c r="G775">
        <f t="shared" si="369"/>
        <v>-1.7117705153753566E-3</v>
      </c>
      <c r="H775">
        <f t="shared" si="369"/>
        <v>4.3145662490962306E-4</v>
      </c>
      <c r="I775">
        <f t="shared" si="369"/>
        <v>-8.7206091826841445E-3</v>
      </c>
      <c r="J775">
        <f t="shared" si="369"/>
        <v>8.07925626307225E-2</v>
      </c>
      <c r="K775">
        <f t="shared" si="369"/>
        <v>1.4982293676111744E-2</v>
      </c>
    </row>
    <row r="776" spans="1:11">
      <c r="A776" s="1">
        <v>45832</v>
      </c>
      <c r="B776">
        <f t="shared" ref="B776:K776" si="370">B371-B$399</f>
        <v>-1.8397002991688504E-3</v>
      </c>
      <c r="C776">
        <f t="shared" si="370"/>
        <v>6.2261383458206924E-3</v>
      </c>
      <c r="D776">
        <f t="shared" si="370"/>
        <v>7.4985561973983797E-3</v>
      </c>
      <c r="E776">
        <f t="shared" si="370"/>
        <v>1.7840247011611968E-2</v>
      </c>
      <c r="F776">
        <f t="shared" si="370"/>
        <v>1.0993671627202007E-2</v>
      </c>
      <c r="G776">
        <f t="shared" si="370"/>
        <v>2.1935950148537386E-2</v>
      </c>
      <c r="H776">
        <f t="shared" si="370"/>
        <v>1.5459845032540611E-2</v>
      </c>
      <c r="I776">
        <f t="shared" si="370"/>
        <v>-9.4410287642512445E-3</v>
      </c>
      <c r="J776">
        <f t="shared" si="370"/>
        <v>-2.5072667450424291E-2</v>
      </c>
      <c r="K776">
        <f t="shared" si="370"/>
        <v>-5.0170376070009662E-3</v>
      </c>
    </row>
    <row r="777" spans="1:11">
      <c r="A777" s="1">
        <v>45833</v>
      </c>
      <c r="B777">
        <f t="shared" ref="B777:K777" si="371">B372-B$399</f>
        <v>-1.0154089844288611E-2</v>
      </c>
      <c r="C777">
        <f t="shared" si="371"/>
        <v>-8.774154507760373E-3</v>
      </c>
      <c r="D777">
        <f t="shared" si="371"/>
        <v>3.4489777182340618E-3</v>
      </c>
      <c r="E777">
        <f t="shared" si="371"/>
        <v>-5.5756535549354429E-3</v>
      </c>
      <c r="F777">
        <f t="shared" si="371"/>
        <v>-9.1420302710615176E-3</v>
      </c>
      <c r="G777">
        <f t="shared" si="371"/>
        <v>3.94038664946465E-2</v>
      </c>
      <c r="H777">
        <f t="shared" si="371"/>
        <v>-2.2844349273449024E-2</v>
      </c>
      <c r="I777">
        <f t="shared" si="371"/>
        <v>-4.7158533238195275E-3</v>
      </c>
      <c r="J777">
        <f t="shared" si="371"/>
        <v>-3.9474329161515762E-2</v>
      </c>
      <c r="K777">
        <f t="shared" si="371"/>
        <v>-1.260887687195418E-2</v>
      </c>
    </row>
    <row r="778" spans="1:11">
      <c r="A778" s="1">
        <v>45834</v>
      </c>
      <c r="B778">
        <f t="shared" ref="B778:K778" si="372">B373-B$399</f>
        <v>1.8500036959304862E-2</v>
      </c>
      <c r="C778">
        <f t="shared" si="372"/>
        <v>-2.8110000608508371E-3</v>
      </c>
      <c r="D778">
        <f t="shared" si="372"/>
        <v>9.5645242074600262E-3</v>
      </c>
      <c r="E778">
        <f t="shared" si="372"/>
        <v>2.2080398962892437E-2</v>
      </c>
      <c r="F778">
        <f t="shared" si="372"/>
        <v>2.8575015405146634E-2</v>
      </c>
      <c r="G778">
        <f t="shared" si="372"/>
        <v>6.6491646886762505E-4</v>
      </c>
      <c r="H778">
        <f t="shared" si="372"/>
        <v>1.8388190843375862E-3</v>
      </c>
      <c r="I778">
        <f t="shared" si="372"/>
        <v>7.7786665608424645E-3</v>
      </c>
      <c r="J778">
        <f t="shared" si="372"/>
        <v>-6.9304685689193686E-3</v>
      </c>
      <c r="K778">
        <f t="shared" si="372"/>
        <v>9.4378681424012595E-3</v>
      </c>
    </row>
    <row r="779" spans="1:11">
      <c r="A779" s="1">
        <v>45835</v>
      </c>
      <c r="B779">
        <f t="shared" ref="B779:K779" si="373">B374-B$399</f>
        <v>5.9086010108210636E-2</v>
      </c>
      <c r="C779">
        <f t="shared" si="373"/>
        <v>1.1866256103661816E-2</v>
      </c>
      <c r="D779">
        <f t="shared" si="373"/>
        <v>-3.9937042949801235E-3</v>
      </c>
      <c r="E779">
        <f t="shared" si="373"/>
        <v>1.0031274095348599E-2</v>
      </c>
      <c r="F779">
        <f t="shared" si="373"/>
        <v>0.15236668192062519</v>
      </c>
      <c r="G779">
        <f t="shared" si="373"/>
        <v>1.3674348127104384E-2</v>
      </c>
      <c r="H779">
        <f t="shared" si="373"/>
        <v>2.226997374516804E-2</v>
      </c>
      <c r="I779">
        <f t="shared" si="373"/>
        <v>2.5956901602174256E-3</v>
      </c>
      <c r="J779">
        <f t="shared" si="373"/>
        <v>-8.1262737519034907E-3</v>
      </c>
      <c r="K779">
        <f t="shared" si="373"/>
        <v>8.2094645693231855E-3</v>
      </c>
    </row>
    <row r="780" spans="1:11">
      <c r="A780" s="1">
        <v>45838</v>
      </c>
      <c r="B780">
        <f t="shared" ref="B780:K780" si="374">B375-B$399</f>
        <v>-2.3399592128161832E-2</v>
      </c>
      <c r="C780">
        <f t="shared" si="374"/>
        <v>5.4586239871912638E-3</v>
      </c>
      <c r="D780">
        <f t="shared" si="374"/>
        <v>2.0058668956222246E-3</v>
      </c>
      <c r="E780">
        <f t="shared" si="374"/>
        <v>9.5422531494431823E-3</v>
      </c>
      <c r="F780">
        <f t="shared" si="374"/>
        <v>-1.3417275022449148E-2</v>
      </c>
      <c r="G780">
        <f t="shared" si="374"/>
        <v>-2.4148252794842801E-3</v>
      </c>
      <c r="H780">
        <f t="shared" si="374"/>
        <v>7.9078450993322908E-3</v>
      </c>
      <c r="I780">
        <f t="shared" si="374"/>
        <v>-5.5554489272811123E-3</v>
      </c>
      <c r="J780">
        <f t="shared" si="374"/>
        <v>-1.997374218539132E-2</v>
      </c>
      <c r="K780">
        <f t="shared" si="374"/>
        <v>8.9152300185344896E-3</v>
      </c>
    </row>
    <row r="781" spans="1:11">
      <c r="A781" s="1">
        <v>45839</v>
      </c>
      <c r="B781">
        <f t="shared" ref="B781:K781" si="375">B376-B$399</f>
        <v>1.2390830404635567E-3</v>
      </c>
      <c r="C781">
        <f t="shared" si="375"/>
        <v>1.2490310859159909E-2</v>
      </c>
      <c r="D781">
        <f t="shared" si="375"/>
        <v>-1.1734054350524756E-2</v>
      </c>
      <c r="E781">
        <f t="shared" si="375"/>
        <v>-3.6557649828838523E-2</v>
      </c>
      <c r="F781">
        <f t="shared" si="375"/>
        <v>3.3825426643972714E-2</v>
      </c>
      <c r="G781">
        <f t="shared" si="375"/>
        <v>-3.3621692262003011E-2</v>
      </c>
      <c r="H781">
        <f t="shared" si="375"/>
        <v>2.46631470924682E-2</v>
      </c>
      <c r="I781">
        <f t="shared" si="375"/>
        <v>3.55610303191135E-2</v>
      </c>
      <c r="J781">
        <f t="shared" si="375"/>
        <v>-5.4885721797885353E-2</v>
      </c>
      <c r="K781">
        <f t="shared" si="375"/>
        <v>2.9181190645011647E-3</v>
      </c>
    </row>
    <row r="782" spans="1:11">
      <c r="A782" s="1">
        <v>45840</v>
      </c>
      <c r="B782">
        <f t="shared" ref="B782:K782" si="376">B377-B$399</f>
        <v>1.0675607357555522E-2</v>
      </c>
      <c r="C782">
        <f t="shared" si="376"/>
        <v>-1.1117278400937297E-2</v>
      </c>
      <c r="D782">
        <f t="shared" si="376"/>
        <v>-2.909207705357172E-3</v>
      </c>
      <c r="E782">
        <f t="shared" si="376"/>
        <v>-9.3142731892479885E-3</v>
      </c>
      <c r="F782">
        <f t="shared" si="376"/>
        <v>4.1057766233364559E-2</v>
      </c>
      <c r="G782">
        <f t="shared" si="376"/>
        <v>2.1830195838754285E-2</v>
      </c>
      <c r="H782">
        <f t="shared" si="376"/>
        <v>9.2962622970361748E-3</v>
      </c>
      <c r="I782">
        <f t="shared" si="376"/>
        <v>-8.1402683623851366E-3</v>
      </c>
      <c r="J782">
        <f t="shared" si="376"/>
        <v>4.8155681050748703E-2</v>
      </c>
      <c r="K782">
        <f t="shared" si="376"/>
        <v>-1.0943586494876215E-2</v>
      </c>
    </row>
    <row r="783" spans="1:11">
      <c r="A783" s="1">
        <v>45841</v>
      </c>
      <c r="B783">
        <f t="shared" ref="B783:K783" si="377">B378-B$399</f>
        <v>1.8344694454628559E-2</v>
      </c>
      <c r="C783">
        <f t="shared" si="377"/>
        <v>5.6917783406585324E-3</v>
      </c>
      <c r="D783">
        <f t="shared" si="377"/>
        <v>1.4823017697162225E-2</v>
      </c>
      <c r="E783">
        <f t="shared" si="377"/>
        <v>7.0307049111167381E-3</v>
      </c>
      <c r="F783">
        <f t="shared" si="377"/>
        <v>4.6390192496072034E-4</v>
      </c>
      <c r="G783">
        <f t="shared" si="377"/>
        <v>9.354659995191859E-3</v>
      </c>
      <c r="H783">
        <f t="shared" si="377"/>
        <v>-7.7831350738662959E-3</v>
      </c>
      <c r="I783">
        <f t="shared" si="377"/>
        <v>2.4164417808084562E-3</v>
      </c>
      <c r="J783">
        <f t="shared" si="377"/>
        <v>-2.477127870998342E-3</v>
      </c>
      <c r="K783">
        <f t="shared" si="377"/>
        <v>6.4569278857127673E-3</v>
      </c>
    </row>
    <row r="784" spans="1:11">
      <c r="A784" s="1">
        <v>45845</v>
      </c>
      <c r="B784">
        <f t="shared" ref="B784:K784" si="378">B379-B$399</f>
        <v>1.2549212816101945E-2</v>
      </c>
      <c r="C784">
        <f t="shared" si="378"/>
        <v>-5.278387370974141E-3</v>
      </c>
      <c r="D784">
        <f t="shared" si="378"/>
        <v>-3.2034028979992381E-3</v>
      </c>
      <c r="E784">
        <f t="shared" si="378"/>
        <v>-8.386013591281492E-3</v>
      </c>
      <c r="F784">
        <f t="shared" si="378"/>
        <v>2.2965945649266032E-3</v>
      </c>
      <c r="G784">
        <f t="shared" si="378"/>
        <v>-1.0839674256330313E-2</v>
      </c>
      <c r="H784">
        <f t="shared" si="378"/>
        <v>-6.5930236558663343E-3</v>
      </c>
      <c r="I784">
        <f t="shared" si="378"/>
        <v>-8.8152709133266869E-3</v>
      </c>
      <c r="J784">
        <f t="shared" si="378"/>
        <v>-6.9419574559721184E-2</v>
      </c>
      <c r="K784">
        <f t="shared" si="378"/>
        <v>-5.0733991686312133E-3</v>
      </c>
    </row>
    <row r="785" spans="1:11">
      <c r="A785" s="1">
        <v>45846</v>
      </c>
      <c r="B785">
        <f t="shared" ref="B785:K785" si="379">B380-B$399</f>
        <v>-5.0489910673717211E-4</v>
      </c>
      <c r="C785">
        <f t="shared" si="379"/>
        <v>-1.1356799832865366E-2</v>
      </c>
      <c r="D785">
        <f t="shared" si="379"/>
        <v>-3.168293998247015E-3</v>
      </c>
      <c r="E785">
        <f t="shared" si="379"/>
        <v>-1.3654184463555095E-2</v>
      </c>
      <c r="F785">
        <f t="shared" si="379"/>
        <v>-3.3640379428530917E-2</v>
      </c>
      <c r="G785">
        <f t="shared" si="379"/>
        <v>7.1860559904399195E-3</v>
      </c>
      <c r="H785">
        <f t="shared" si="379"/>
        <v>4.6648083584671677E-3</v>
      </c>
      <c r="I785">
        <f t="shared" si="379"/>
        <v>1.3538736734427617E-2</v>
      </c>
      <c r="J785">
        <f t="shared" si="379"/>
        <v>1.1639188757629992E-2</v>
      </c>
      <c r="K785">
        <f t="shared" si="379"/>
        <v>-1.3911866422032381E-3</v>
      </c>
    </row>
    <row r="786" spans="1:11">
      <c r="A786" s="1">
        <v>45847</v>
      </c>
      <c r="B786">
        <f t="shared" ref="B786:K786" si="380">B381-B$399</f>
        <v>3.6974264979019851E-2</v>
      </c>
      <c r="C786">
        <f t="shared" si="380"/>
        <v>-1.1333164510631327E-2</v>
      </c>
      <c r="D786">
        <f t="shared" si="380"/>
        <v>1.2915612646199795E-2</v>
      </c>
      <c r="E786">
        <f t="shared" si="380"/>
        <v>7.6121111438272621E-3</v>
      </c>
      <c r="F786">
        <f t="shared" si="380"/>
        <v>-4.406236322727285E-3</v>
      </c>
      <c r="G786">
        <f t="shared" si="380"/>
        <v>1.4063775804404375E-2</v>
      </c>
      <c r="H786">
        <f t="shared" si="380"/>
        <v>-3.8703144812288737E-3</v>
      </c>
      <c r="I786">
        <f t="shared" si="380"/>
        <v>2.92094239172235E-3</v>
      </c>
      <c r="J786">
        <f t="shared" si="380"/>
        <v>-8.0073642361794713E-3</v>
      </c>
      <c r="K786">
        <f t="shared" si="380"/>
        <v>1.0506484504176281E-2</v>
      </c>
    </row>
    <row r="787" spans="1:11">
      <c r="A787" s="1">
        <v>45848</v>
      </c>
      <c r="B787">
        <f t="shared" ref="B787:K787" si="381">B382-B$399</f>
        <v>-2.2524681740272944E-3</v>
      </c>
      <c r="C787">
        <f t="shared" si="381"/>
        <v>3.6605693211713649E-3</v>
      </c>
      <c r="D787">
        <f t="shared" si="381"/>
        <v>-4.9898987663220392E-3</v>
      </c>
      <c r="E787">
        <f t="shared" si="381"/>
        <v>-3.181405266543974E-2</v>
      </c>
      <c r="F787">
        <f t="shared" si="381"/>
        <v>1.4873978368260888E-2</v>
      </c>
      <c r="G787">
        <f t="shared" si="381"/>
        <v>3.5539293740706728E-3</v>
      </c>
      <c r="H787">
        <f t="shared" si="381"/>
        <v>1.2174312793530652E-2</v>
      </c>
      <c r="I787">
        <f t="shared" si="381"/>
        <v>-1.394104694771867E-3</v>
      </c>
      <c r="J787">
        <f t="shared" si="381"/>
        <v>4.5755901626230625E-2</v>
      </c>
      <c r="K787">
        <f t="shared" si="381"/>
        <v>3.5428410489060503E-3</v>
      </c>
    </row>
    <row r="788" spans="1:11">
      <c r="A788" s="1">
        <v>45849</v>
      </c>
      <c r="B788">
        <f t="shared" ref="B788:K788" si="382">B383-B$399</f>
        <v>3.3154999116397688E-3</v>
      </c>
      <c r="C788">
        <f t="shared" si="382"/>
        <v>9.2017150007311444E-4</v>
      </c>
      <c r="D788">
        <f t="shared" si="382"/>
        <v>2.7109281793049754E-3</v>
      </c>
      <c r="E788">
        <f t="shared" si="382"/>
        <v>-6.9398579420855682E-3</v>
      </c>
      <c r="F788">
        <f t="shared" si="382"/>
        <v>-2.6204624206328617E-2</v>
      </c>
      <c r="G788">
        <f t="shared" si="382"/>
        <v>1.0606498263256419E-3</v>
      </c>
      <c r="H788">
        <f t="shared" si="382"/>
        <v>-5.7493338017009484E-3</v>
      </c>
      <c r="I788">
        <f t="shared" si="382"/>
        <v>-2.551283804163593E-3</v>
      </c>
      <c r="J788">
        <f t="shared" si="382"/>
        <v>1.0220162288501488E-2</v>
      </c>
      <c r="K788">
        <f t="shared" si="382"/>
        <v>-8.7725678660313805E-3</v>
      </c>
    </row>
    <row r="789" spans="1:11">
      <c r="A789" s="1">
        <v>45852</v>
      </c>
      <c r="B789">
        <f t="shared" ref="B789:K789" si="383">B384-B$399</f>
        <v>1.6177033453904817E-2</v>
      </c>
      <c r="C789">
        <f t="shared" si="383"/>
        <v>-6.2381361472020943E-3</v>
      </c>
      <c r="D789">
        <f t="shared" si="383"/>
        <v>-1.5542824353649144E-3</v>
      </c>
      <c r="E789">
        <f t="shared" si="383"/>
        <v>1.0966940441999919E-2</v>
      </c>
      <c r="F789">
        <f t="shared" si="383"/>
        <v>-4.7680582538621608E-3</v>
      </c>
      <c r="G789">
        <f t="shared" si="383"/>
        <v>-9.0902133244012435E-3</v>
      </c>
      <c r="H789">
        <f t="shared" si="383"/>
        <v>2.568564231995809E-3</v>
      </c>
      <c r="I789">
        <f t="shared" si="383"/>
        <v>-1.6354408187545976E-2</v>
      </c>
      <c r="J789">
        <f t="shared" si="383"/>
        <v>9.286254504198798E-3</v>
      </c>
      <c r="K789">
        <f t="shared" si="383"/>
        <v>5.2188229270842398E-3</v>
      </c>
    </row>
    <row r="790" spans="1:11">
      <c r="A790" s="1">
        <v>45853</v>
      </c>
      <c r="B790">
        <f t="shared" ref="B790:K790" si="384">B385-B$399</f>
        <v>-2.2142247597278174E-3</v>
      </c>
      <c r="C790">
        <f t="shared" si="384"/>
        <v>-2.0966228895519848E-3</v>
      </c>
      <c r="D790">
        <f t="shared" si="384"/>
        <v>4.6082118079804483E-3</v>
      </c>
      <c r="E790">
        <f t="shared" si="384"/>
        <v>-3.8891606234290866E-3</v>
      </c>
      <c r="F790">
        <f t="shared" si="384"/>
        <v>-3.1347435591983926E-3</v>
      </c>
      <c r="G790">
        <f t="shared" si="384"/>
        <v>3.647326151804714E-2</v>
      </c>
      <c r="H790">
        <f t="shared" si="384"/>
        <v>-1.2705707461085789E-2</v>
      </c>
      <c r="I790">
        <f t="shared" si="384"/>
        <v>-1.0406281817884286E-2</v>
      </c>
      <c r="J790">
        <f t="shared" si="384"/>
        <v>-2.0838817551960088E-2</v>
      </c>
      <c r="K790">
        <f t="shared" si="384"/>
        <v>-1.606857255935952E-2</v>
      </c>
    </row>
    <row r="791" spans="1:11">
      <c r="A791" s="1">
        <v>45854</v>
      </c>
      <c r="B791">
        <f t="shared" ref="B791:K791" si="385">B386-B$399</f>
        <v>-4.3657232465726383E-4</v>
      </c>
      <c r="C791">
        <f t="shared" si="385"/>
        <v>-1.8108318708241525E-3</v>
      </c>
      <c r="D791">
        <f t="shared" si="385"/>
        <v>-1.3536254849247776E-3</v>
      </c>
      <c r="E791">
        <f t="shared" si="385"/>
        <v>-1.0460978984014156E-2</v>
      </c>
      <c r="F791">
        <f t="shared" si="385"/>
        <v>1.991900447196339E-3</v>
      </c>
      <c r="G791">
        <f t="shared" si="385"/>
        <v>-1.1250724165469753E-5</v>
      </c>
      <c r="H791">
        <f t="shared" si="385"/>
        <v>1.1785506986060292E-2</v>
      </c>
      <c r="I791">
        <f t="shared" si="385"/>
        <v>-1.9870695845978072E-5</v>
      </c>
      <c r="J791">
        <f t="shared" si="385"/>
        <v>3.3514165436019219E-2</v>
      </c>
      <c r="K791">
        <f t="shared" si="385"/>
        <v>9.8094016907890741E-3</v>
      </c>
    </row>
    <row r="792" spans="1:11">
      <c r="A792" s="1">
        <v>45855</v>
      </c>
      <c r="B792">
        <f t="shared" ref="B792:K792" si="386">B387-B$399</f>
        <v>4.7829524918760521E-3</v>
      </c>
      <c r="C792">
        <f t="shared" si="386"/>
        <v>1.8542668030039174E-2</v>
      </c>
      <c r="D792">
        <f t="shared" si="386"/>
        <v>1.1066670920190105E-2</v>
      </c>
      <c r="E792">
        <f t="shared" si="386"/>
        <v>1.6525313027816738E-2</v>
      </c>
      <c r="F792">
        <f t="shared" si="386"/>
        <v>1.2669240363745294E-2</v>
      </c>
      <c r="G792">
        <f t="shared" si="386"/>
        <v>5.5753571748870506E-3</v>
      </c>
      <c r="H792">
        <f t="shared" si="386"/>
        <v>7.4824026182290893E-2</v>
      </c>
      <c r="I792">
        <f t="shared" si="386"/>
        <v>7.0063078775824874E-3</v>
      </c>
      <c r="J792">
        <f t="shared" si="386"/>
        <v>-8.5526107516058943E-3</v>
      </c>
      <c r="K792">
        <f t="shared" si="386"/>
        <v>-3.6293196627624346E-3</v>
      </c>
    </row>
    <row r="793" spans="1:11">
      <c r="A793" s="1">
        <v>45856</v>
      </c>
      <c r="B793">
        <f t="shared" ref="B793:K793" si="387">B388-B$399</f>
        <v>-7.1879262183727703E-3</v>
      </c>
      <c r="C793">
        <f t="shared" si="387"/>
        <v>-1.0996238367001426E-2</v>
      </c>
      <c r="D793">
        <f t="shared" si="387"/>
        <v>-4.1827970521932508E-3</v>
      </c>
      <c r="E793">
        <f t="shared" si="387"/>
        <v>-5.3516645394552309E-2</v>
      </c>
      <c r="F793">
        <f t="shared" si="387"/>
        <v>-6.524342974620333E-3</v>
      </c>
      <c r="G793">
        <f t="shared" si="387"/>
        <v>-7.3466381691878486E-3</v>
      </c>
      <c r="H793">
        <f t="shared" si="387"/>
        <v>-1.4849904337326801E-2</v>
      </c>
      <c r="I793">
        <f t="shared" si="387"/>
        <v>6.2015211431253239E-3</v>
      </c>
      <c r="J793">
        <f t="shared" si="387"/>
        <v>3.0532331284103553E-2</v>
      </c>
      <c r="K793">
        <f t="shared" si="387"/>
        <v>4.4810095773886579E-3</v>
      </c>
    </row>
    <row r="794" spans="1:11">
      <c r="A794" s="1">
        <v>45859</v>
      </c>
      <c r="B794">
        <f t="shared" ref="B794:K794" si="388">B389-B$399</f>
        <v>-8.8922043464939506E-5</v>
      </c>
      <c r="C794">
        <f t="shared" si="388"/>
        <v>2.6364270149679633E-3</v>
      </c>
      <c r="D794">
        <f t="shared" si="388"/>
        <v>-9.3857871737433542E-4</v>
      </c>
      <c r="E794">
        <f t="shared" si="388"/>
        <v>1.7314068386302509E-2</v>
      </c>
      <c r="F794">
        <f t="shared" si="388"/>
        <v>2.1851999016926929E-2</v>
      </c>
      <c r="G794">
        <f t="shared" si="388"/>
        <v>-9.9103789369344181E-3</v>
      </c>
      <c r="H794">
        <f t="shared" si="388"/>
        <v>-1.0474658984515271E-2</v>
      </c>
      <c r="I794">
        <f t="shared" si="388"/>
        <v>-1.2497763169404217E-2</v>
      </c>
      <c r="J794">
        <f t="shared" si="388"/>
        <v>-5.04564159529668E-3</v>
      </c>
      <c r="K794">
        <f t="shared" si="388"/>
        <v>-1.8738910832433689E-2</v>
      </c>
    </row>
    <row r="795" spans="1:11">
      <c r="A795" s="1">
        <v>45860</v>
      </c>
      <c r="B795">
        <f t="shared" ref="B795:K795" si="389">B390-B$399</f>
        <v>-3.664817294799888E-3</v>
      </c>
      <c r="C795">
        <f t="shared" si="389"/>
        <v>-6.3644318012915976E-3</v>
      </c>
      <c r="D795">
        <f t="shared" si="389"/>
        <v>-1.0349272616061986E-2</v>
      </c>
      <c r="E795">
        <f t="shared" si="389"/>
        <v>-3.7578709907314434E-2</v>
      </c>
      <c r="F795">
        <f t="shared" si="389"/>
        <v>1.8972451083484901E-2</v>
      </c>
      <c r="G795">
        <f t="shared" si="389"/>
        <v>-2.9318481224895054E-2</v>
      </c>
      <c r="H795">
        <f t="shared" si="389"/>
        <v>3.0904649401428345E-2</v>
      </c>
      <c r="I795">
        <f t="shared" si="389"/>
        <v>4.5846106460526552E-2</v>
      </c>
      <c r="J795">
        <f t="shared" si="389"/>
        <v>9.49336108478167E-3</v>
      </c>
      <c r="K795">
        <f t="shared" si="389"/>
        <v>1.888566833796039E-2</v>
      </c>
    </row>
    <row r="796" spans="1:11">
      <c r="A796" s="1">
        <v>45861</v>
      </c>
      <c r="B796">
        <f t="shared" ref="B796:K796" si="390">B391-B$399</f>
        <v>2.3632731114877577E-2</v>
      </c>
      <c r="C796">
        <f t="shared" si="390"/>
        <v>-7.6909168077866127E-3</v>
      </c>
      <c r="D796">
        <f t="shared" si="390"/>
        <v>2.292922397813124E-4</v>
      </c>
      <c r="E796">
        <f t="shared" si="390"/>
        <v>-1.3733599859859389E-2</v>
      </c>
      <c r="F796">
        <f t="shared" si="390"/>
        <v>1.8503437955761495E-2</v>
      </c>
      <c r="G796">
        <f t="shared" si="390"/>
        <v>1.8514802147310216E-2</v>
      </c>
      <c r="H796">
        <f t="shared" si="390"/>
        <v>-2.3253688356248393E-3</v>
      </c>
      <c r="I796">
        <f t="shared" si="390"/>
        <v>-1.0866268110383612E-2</v>
      </c>
      <c r="J796">
        <f t="shared" si="390"/>
        <v>-1.717371908231298E-4</v>
      </c>
      <c r="K796">
        <f t="shared" si="390"/>
        <v>5.1285412269306682E-3</v>
      </c>
    </row>
    <row r="797" spans="1:11">
      <c r="A797" s="1">
        <v>45862</v>
      </c>
      <c r="B797">
        <f t="shared" ref="B797:K797" si="391">B392-B$399</f>
        <v>-1.1161334565381204E-2</v>
      </c>
      <c r="C797">
        <f t="shared" si="391"/>
        <v>-1.3808252965921745E-3</v>
      </c>
      <c r="D797">
        <f t="shared" si="391"/>
        <v>8.9455458223339918E-3</v>
      </c>
      <c r="E797">
        <f t="shared" si="391"/>
        <v>8.241521118115846E-4</v>
      </c>
      <c r="F797">
        <f t="shared" si="391"/>
        <v>-1.6865112160442605E-2</v>
      </c>
      <c r="G797">
        <f t="shared" si="391"/>
        <v>1.3396025032851254E-2</v>
      </c>
      <c r="H797">
        <f t="shared" si="391"/>
        <v>-7.6185737519760518E-3</v>
      </c>
      <c r="I797">
        <f t="shared" si="391"/>
        <v>-2.3488552021922692E-2</v>
      </c>
      <c r="J797">
        <f t="shared" si="391"/>
        <v>-8.3496947519581963E-2</v>
      </c>
      <c r="K797">
        <f t="shared" si="391"/>
        <v>-6.2437149601378287E-3</v>
      </c>
    </row>
    <row r="798" spans="1:11">
      <c r="A798" s="1">
        <v>45863</v>
      </c>
      <c r="B798">
        <f t="shared" ref="B798:K798" si="392">B393-B$399</f>
        <v>7.7380787939309078E-3</v>
      </c>
      <c r="C798">
        <f t="shared" si="392"/>
        <v>4.9982337884584916E-4</v>
      </c>
      <c r="D798">
        <f t="shared" si="392"/>
        <v>4.5812909352345313E-3</v>
      </c>
      <c r="E798">
        <f t="shared" si="392"/>
        <v>-2.78662453382311E-3</v>
      </c>
      <c r="F798">
        <f t="shared" si="392"/>
        <v>1.1734102067594855E-2</v>
      </c>
      <c r="G798">
        <f t="shared" si="392"/>
        <v>-5.3176607542417282E-3</v>
      </c>
      <c r="H798">
        <f t="shared" si="392"/>
        <v>-7.0585288241397067E-3</v>
      </c>
      <c r="I798">
        <f t="shared" si="392"/>
        <v>7.3398595156549586E-3</v>
      </c>
      <c r="J798">
        <f t="shared" si="392"/>
        <v>3.3717308912773872E-2</v>
      </c>
      <c r="K798">
        <f t="shared" si="392"/>
        <v>1.34837037009468E-2</v>
      </c>
    </row>
    <row r="799" spans="1:11">
      <c r="A799" s="1">
        <v>45866</v>
      </c>
      <c r="B799">
        <f t="shared" ref="B799:K799" si="393">B394-B$399</f>
        <v>1.4372244109354065E-2</v>
      </c>
      <c r="C799">
        <f t="shared" si="393"/>
        <v>-1.6126929077837807E-2</v>
      </c>
      <c r="D799">
        <f t="shared" si="393"/>
        <v>-3.3136609904725746E-3</v>
      </c>
      <c r="E799">
        <f t="shared" si="393"/>
        <v>-7.5474076937909734E-3</v>
      </c>
      <c r="F799">
        <f t="shared" si="393"/>
        <v>3.940452538666496E-2</v>
      </c>
      <c r="G799">
        <f t="shared" si="393"/>
        <v>1.4795733759451922E-2</v>
      </c>
      <c r="H799">
        <f t="shared" si="393"/>
        <v>-1.2828952581464213E-2</v>
      </c>
      <c r="I799">
        <f t="shared" si="393"/>
        <v>-8.2874844681583102E-3</v>
      </c>
      <c r="J799">
        <f t="shared" si="393"/>
        <v>2.8625752303456164E-2</v>
      </c>
      <c r="K799">
        <f t="shared" si="393"/>
        <v>-1.2711860162152713E-2</v>
      </c>
    </row>
    <row r="800" spans="1:11">
      <c r="A800" s="1">
        <v>45867</v>
      </c>
      <c r="B800">
        <f t="shared" ref="B800:K800" si="394">B395-B$399</f>
        <v>-4.3697045404890993E-2</v>
      </c>
      <c r="C800">
        <f t="shared" si="394"/>
        <v>1.8432330926914372E-2</v>
      </c>
      <c r="D800">
        <f t="shared" si="394"/>
        <v>-8.2160412822872232E-4</v>
      </c>
      <c r="E800">
        <f t="shared" si="394"/>
        <v>-7.5468617469401349E-3</v>
      </c>
      <c r="F800">
        <f t="shared" si="394"/>
        <v>-1.1020147257869583E-2</v>
      </c>
      <c r="G800">
        <f t="shared" si="394"/>
        <v>-1.0951844490624531E-2</v>
      </c>
      <c r="H800">
        <f t="shared" si="394"/>
        <v>1.6664182933577968E-2</v>
      </c>
      <c r="I800">
        <f t="shared" si="394"/>
        <v>-7.9240437528520589E-3</v>
      </c>
      <c r="J800">
        <f t="shared" si="394"/>
        <v>-1.500991325503569E-2</v>
      </c>
      <c r="K800">
        <f t="shared" si="394"/>
        <v>-2.3493145707156063E-2</v>
      </c>
    </row>
    <row r="801" spans="1:11">
      <c r="A801" s="1">
        <v>45868</v>
      </c>
      <c r="B801">
        <f t="shared" ref="B801:K801" si="395">B396-B$399</f>
        <v>-1.0633585930374611E-3</v>
      </c>
      <c r="C801">
        <f t="shared" si="395"/>
        <v>-9.5935842369815946E-3</v>
      </c>
      <c r="D801">
        <f t="shared" si="395"/>
        <v>3.489013917774708E-4</v>
      </c>
      <c r="E801">
        <f t="shared" si="395"/>
        <v>1.0669945642754865E-2</v>
      </c>
      <c r="F801">
        <f t="shared" si="395"/>
        <v>-2.0600843221320483E-2</v>
      </c>
      <c r="G801">
        <f t="shared" si="395"/>
        <v>1.7487082323505099E-2</v>
      </c>
      <c r="H801">
        <f t="shared" si="395"/>
        <v>-6.8816503519651935E-3</v>
      </c>
      <c r="I801">
        <f t="shared" si="395"/>
        <v>-2.4956821353989776E-3</v>
      </c>
      <c r="J801">
        <f t="shared" si="395"/>
        <v>-8.2515399695833221E-3</v>
      </c>
      <c r="K801">
        <f t="shared" si="395"/>
        <v>-2.2581176259259404E-3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E367-1D66-498F-A203-BF1BF1EFBAE0}">
  <sheetPr codeName="Tabelle3"/>
  <dimension ref="A1:D398"/>
  <sheetViews>
    <sheetView topLeftCell="A364" workbookViewId="0">
      <selection activeCell="C398" sqref="C398"/>
    </sheetView>
  </sheetViews>
  <sheetFormatPr baseColWidth="10" defaultRowHeight="15"/>
  <cols>
    <col min="2" max="2" width="12" bestFit="1" customWidth="1"/>
    <col min="3" max="3" width="24.85546875" customWidth="1"/>
  </cols>
  <sheetData>
    <row r="1" spans="1:3">
      <c r="A1" t="s">
        <v>0</v>
      </c>
      <c r="B1" t="s">
        <v>14</v>
      </c>
      <c r="C1" t="s">
        <v>15</v>
      </c>
    </row>
    <row r="2" spans="1:3">
      <c r="A2" s="1">
        <v>45293</v>
      </c>
    </row>
    <row r="3" spans="1:3">
      <c r="A3" s="1">
        <v>45294</v>
      </c>
      <c r="B3">
        <f>Returns!B408*Returns!C408</f>
        <v>-5.6974736598499366E-5</v>
      </c>
    </row>
    <row r="4" spans="1:3">
      <c r="A4" s="1">
        <v>45295</v>
      </c>
      <c r="B4">
        <f>Returns!B409*Returns!C409</f>
        <v>-1.6245760918717705E-5</v>
      </c>
    </row>
    <row r="5" spans="1:3">
      <c r="A5" s="1">
        <v>45296</v>
      </c>
      <c r="B5">
        <f>Returns!B410*Returns!C410</f>
        <v>-3.3466434376009609E-5</v>
      </c>
    </row>
    <row r="6" spans="1:3">
      <c r="A6" s="1">
        <v>45299</v>
      </c>
      <c r="B6">
        <f>Returns!B411*Returns!C411</f>
        <v>-5.5106798096402228E-4</v>
      </c>
    </row>
    <row r="7" spans="1:3">
      <c r="A7" s="1">
        <v>45300</v>
      </c>
      <c r="B7">
        <f>Returns!B412*Returns!C412</f>
        <v>3.3155432277945492E-5</v>
      </c>
    </row>
    <row r="8" spans="1:3">
      <c r="A8" s="1">
        <v>45301</v>
      </c>
      <c r="B8">
        <f>Returns!B413*Returns!C413</f>
        <v>2.5977406541797119E-5</v>
      </c>
    </row>
    <row r="9" spans="1:3">
      <c r="A9" s="1">
        <v>45302</v>
      </c>
      <c r="B9">
        <f>Returns!B414*Returns!C414</f>
        <v>1.5896454394810912E-4</v>
      </c>
    </row>
    <row r="10" spans="1:3">
      <c r="A10" s="1">
        <v>45303</v>
      </c>
      <c r="B10">
        <f>Returns!B415*Returns!C415</f>
        <v>-2.0460017590489597E-4</v>
      </c>
    </row>
    <row r="11" spans="1:3">
      <c r="A11" s="1">
        <v>45307</v>
      </c>
      <c r="B11">
        <f>Returns!B416*Returns!C416</f>
        <v>5.6321236495571799E-4</v>
      </c>
    </row>
    <row r="12" spans="1:3">
      <c r="A12" s="1">
        <v>45308</v>
      </c>
      <c r="B12">
        <f>Returns!B417*Returns!C417</f>
        <v>-6.4997757358063252E-6</v>
      </c>
    </row>
    <row r="13" spans="1:3">
      <c r="A13" s="1">
        <v>45309</v>
      </c>
      <c r="B13">
        <f>Returns!B418*Returns!C418</f>
        <v>9.7704441729622117E-5</v>
      </c>
    </row>
    <row r="14" spans="1:3">
      <c r="A14" s="1">
        <v>45310</v>
      </c>
      <c r="B14">
        <f>Returns!B419*Returns!C419</f>
        <v>-9.6653207788183277E-5</v>
      </c>
    </row>
    <row r="15" spans="1:3">
      <c r="A15" s="1">
        <v>45313</v>
      </c>
      <c r="B15">
        <f>Returns!B420*Returns!C420</f>
        <v>2.0425877934613998E-6</v>
      </c>
    </row>
    <row r="16" spans="1:3">
      <c r="A16" s="1">
        <v>45314</v>
      </c>
      <c r="B16">
        <f>Returns!B421*Returns!C421</f>
        <v>-6.6828647450647001E-5</v>
      </c>
    </row>
    <row r="17" spans="1:2">
      <c r="A17" s="1">
        <v>45315</v>
      </c>
      <c r="B17">
        <f>Returns!B422*Returns!C422</f>
        <v>-2.0165633034704123E-4</v>
      </c>
    </row>
    <row r="18" spans="1:2">
      <c r="A18" s="1">
        <v>45316</v>
      </c>
      <c r="B18">
        <f>Returns!B423*Returns!C423</f>
        <v>-2.1342089392215326E-4</v>
      </c>
    </row>
    <row r="19" spans="1:2">
      <c r="A19" s="1">
        <v>45317</v>
      </c>
      <c r="B19">
        <f>Returns!B424*Returns!C424</f>
        <v>5.3993295560981955E-5</v>
      </c>
    </row>
    <row r="20" spans="1:2">
      <c r="A20" s="1">
        <v>45320</v>
      </c>
      <c r="B20">
        <f>Returns!B425*Returns!C425</f>
        <v>-7.5735081098082389E-6</v>
      </c>
    </row>
    <row r="21" spans="1:2">
      <c r="A21" s="1">
        <v>45321</v>
      </c>
      <c r="B21">
        <f>Returns!B426*Returns!C426</f>
        <v>-5.401177119585038E-5</v>
      </c>
    </row>
    <row r="22" spans="1:2">
      <c r="A22" s="1">
        <v>45322</v>
      </c>
      <c r="B22">
        <f>Returns!B427*Returns!C427</f>
        <v>-3.8909838833243749E-4</v>
      </c>
    </row>
    <row r="23" spans="1:2">
      <c r="A23" s="1">
        <v>45323</v>
      </c>
      <c r="B23">
        <f>Returns!B428*Returns!C428</f>
        <v>-1.4302730119440457E-4</v>
      </c>
    </row>
    <row r="24" spans="1:2">
      <c r="A24" s="1">
        <v>45324</v>
      </c>
      <c r="B24">
        <f>Returns!B429*Returns!C429</f>
        <v>1.5852981672549066E-5</v>
      </c>
    </row>
    <row r="25" spans="1:2">
      <c r="A25" s="1">
        <v>45327</v>
      </c>
      <c r="B25">
        <f>Returns!B430*Returns!C430</f>
        <v>1.15230144275823E-4</v>
      </c>
    </row>
    <row r="26" spans="1:2">
      <c r="A26" s="1">
        <v>45328</v>
      </c>
      <c r="B26">
        <f>Returns!B431*Returns!C431</f>
        <v>-2.0556808152098038E-5</v>
      </c>
    </row>
    <row r="27" spans="1:2">
      <c r="A27" s="1">
        <v>45329</v>
      </c>
      <c r="B27">
        <f>Returns!B432*Returns!C432</f>
        <v>5.1397371864024297E-6</v>
      </c>
    </row>
    <row r="28" spans="1:2">
      <c r="A28" s="1">
        <v>45330</v>
      </c>
      <c r="B28">
        <f>Returns!B433*Returns!C433</f>
        <v>4.052509523764461E-5</v>
      </c>
    </row>
    <row r="29" spans="1:2">
      <c r="A29" s="1">
        <v>45331</v>
      </c>
      <c r="B29">
        <f>Returns!B434*Returns!C434</f>
        <v>4.8942172172649364E-7</v>
      </c>
    </row>
    <row r="30" spans="1:2">
      <c r="A30" s="1">
        <v>45334</v>
      </c>
      <c r="B30">
        <f>Returns!B435*Returns!C435</f>
        <v>1.1386147132936681E-6</v>
      </c>
    </row>
    <row r="31" spans="1:2">
      <c r="A31" s="1">
        <v>45335</v>
      </c>
      <c r="B31">
        <f>Returns!B436*Returns!C436</f>
        <v>1.4834301956954959E-4</v>
      </c>
    </row>
    <row r="32" spans="1:2">
      <c r="A32" s="1">
        <v>45336</v>
      </c>
      <c r="B32">
        <f>Returns!B437*Returns!C437</f>
        <v>8.0533097190951725E-6</v>
      </c>
    </row>
    <row r="33" spans="1:2">
      <c r="A33" s="1">
        <v>45337</v>
      </c>
      <c r="B33">
        <f>Returns!B438*Returns!C438</f>
        <v>1.2865415277046723E-5</v>
      </c>
    </row>
    <row r="34" spans="1:2">
      <c r="A34" s="1">
        <v>45338</v>
      </c>
      <c r="B34">
        <f>Returns!B439*Returns!C439</f>
        <v>4.781302525514083E-6</v>
      </c>
    </row>
    <row r="35" spans="1:2">
      <c r="A35" s="1">
        <v>45342</v>
      </c>
      <c r="B35">
        <f>Returns!B440*Returns!C440</f>
        <v>-5.4985164743171758E-5</v>
      </c>
    </row>
    <row r="36" spans="1:2">
      <c r="A36" s="1">
        <v>45343</v>
      </c>
      <c r="B36">
        <f>Returns!B441*Returns!C441</f>
        <v>-7.4210841716715082E-5</v>
      </c>
    </row>
    <row r="37" spans="1:2">
      <c r="A37" s="1">
        <v>45344</v>
      </c>
      <c r="B37">
        <f>Returns!B442*Returns!C442</f>
        <v>6.9213770023691064E-7</v>
      </c>
    </row>
    <row r="38" spans="1:2">
      <c r="A38" s="1">
        <v>45345</v>
      </c>
      <c r="B38">
        <f>Returns!B443*Returns!C443</f>
        <v>-1.0128015988063412E-6</v>
      </c>
    </row>
    <row r="39" spans="1:2">
      <c r="A39" s="1">
        <v>45348</v>
      </c>
      <c r="B39">
        <f>Returns!B444*Returns!C444</f>
        <v>1.2317927211797275E-5</v>
      </c>
    </row>
    <row r="40" spans="1:2">
      <c r="A40" s="1">
        <v>45349</v>
      </c>
      <c r="B40">
        <f>Returns!B445*Returns!C445</f>
        <v>-2.8325533881824814E-5</v>
      </c>
    </row>
    <row r="41" spans="1:2">
      <c r="A41" s="1">
        <v>45350</v>
      </c>
      <c r="B41">
        <f>Returns!B446*Returns!C446</f>
        <v>1.3384236656597813E-5</v>
      </c>
    </row>
    <row r="42" spans="1:2">
      <c r="A42" s="1">
        <v>45351</v>
      </c>
      <c r="B42">
        <f>Returns!B447*Returns!C447</f>
        <v>1.0783555038196633E-4</v>
      </c>
    </row>
    <row r="43" spans="1:2">
      <c r="A43" s="1">
        <v>45352</v>
      </c>
      <c r="B43">
        <f>Returns!B448*Returns!C448</f>
        <v>1.5846288767756579E-4</v>
      </c>
    </row>
    <row r="44" spans="1:2">
      <c r="A44" s="1">
        <v>45355</v>
      </c>
      <c r="B44">
        <f>Returns!B449*Returns!C449</f>
        <v>1.1306664996488022E-5</v>
      </c>
    </row>
    <row r="45" spans="1:2">
      <c r="A45" s="1">
        <v>45356</v>
      </c>
      <c r="B45">
        <f>Returns!B450*Returns!C450</f>
        <v>-1.603357021910972E-5</v>
      </c>
    </row>
    <row r="46" spans="1:2">
      <c r="A46" s="1">
        <v>45357</v>
      </c>
      <c r="B46">
        <f>Returns!B451*Returns!C451</f>
        <v>6.3419439665668628E-9</v>
      </c>
    </row>
    <row r="47" spans="1:2">
      <c r="A47" s="1">
        <v>45358</v>
      </c>
      <c r="B47">
        <f>Returns!B452*Returns!C452</f>
        <v>-2.383440882483001E-5</v>
      </c>
    </row>
    <row r="48" spans="1:2">
      <c r="A48" s="1">
        <v>45359</v>
      </c>
      <c r="B48">
        <f>Returns!B453*Returns!C453</f>
        <v>-1.8619627328421414E-5</v>
      </c>
    </row>
    <row r="49" spans="1:2">
      <c r="A49" s="1">
        <v>45362</v>
      </c>
      <c r="B49">
        <f>Returns!B454*Returns!C454</f>
        <v>-3.5017384167008054E-4</v>
      </c>
    </row>
    <row r="50" spans="1:2">
      <c r="A50" s="1">
        <v>45363</v>
      </c>
      <c r="B50">
        <f>Returns!B455*Returns!C455</f>
        <v>-1.6299395864115916E-4</v>
      </c>
    </row>
    <row r="51" spans="1:2">
      <c r="A51" s="1">
        <v>45364</v>
      </c>
      <c r="B51">
        <f>Returns!B456*Returns!C456</f>
        <v>-9.9878942186137562E-5</v>
      </c>
    </row>
    <row r="52" spans="1:2">
      <c r="A52" s="1">
        <v>45365</v>
      </c>
      <c r="B52">
        <f>Returns!B457*Returns!C457</f>
        <v>1.80329426330734E-5</v>
      </c>
    </row>
    <row r="53" spans="1:2">
      <c r="A53" s="1">
        <v>45366</v>
      </c>
      <c r="B53">
        <f>Returns!B458*Returns!C458</f>
        <v>-8.1959906964219092E-5</v>
      </c>
    </row>
    <row r="54" spans="1:2">
      <c r="A54" s="1">
        <v>45369</v>
      </c>
      <c r="B54">
        <f>Returns!B459*Returns!C459</f>
        <v>-5.3973223462464942E-5</v>
      </c>
    </row>
    <row r="55" spans="1:2">
      <c r="A55" s="1">
        <v>45370</v>
      </c>
      <c r="B55">
        <f>Returns!B460*Returns!C460</f>
        <v>8.3092871093402353E-6</v>
      </c>
    </row>
    <row r="56" spans="1:2">
      <c r="A56" s="1">
        <v>45371</v>
      </c>
      <c r="B56">
        <f>Returns!B461*Returns!C461</f>
        <v>2.9765231623099557E-4</v>
      </c>
    </row>
    <row r="57" spans="1:2">
      <c r="A57" s="1">
        <v>45372</v>
      </c>
      <c r="B57">
        <f>Returns!B462*Returns!C462</f>
        <v>2.1912985676304293E-6</v>
      </c>
    </row>
    <row r="58" spans="1:2">
      <c r="A58" s="1">
        <v>45373</v>
      </c>
      <c r="B58">
        <f>Returns!B463*Returns!C463</f>
        <v>-1.1178236632292136E-6</v>
      </c>
    </row>
    <row r="59" spans="1:2">
      <c r="A59" s="1">
        <v>45376</v>
      </c>
      <c r="B59">
        <f>Returns!B464*Returns!C464</f>
        <v>-2.7122005308798779E-5</v>
      </c>
    </row>
    <row r="60" spans="1:2">
      <c r="A60" s="1">
        <v>45377</v>
      </c>
      <c r="B60">
        <f>Returns!B465*Returns!C465</f>
        <v>-3.6868384239318355E-5</v>
      </c>
    </row>
    <row r="61" spans="1:2">
      <c r="A61" s="1">
        <v>45378</v>
      </c>
      <c r="B61">
        <f>Returns!B466*Returns!C466</f>
        <v>1.7990025157239986E-4</v>
      </c>
    </row>
    <row r="62" spans="1:2">
      <c r="A62" s="1">
        <v>45379</v>
      </c>
      <c r="B62">
        <f>Returns!B467*Returns!C467</f>
        <v>1.0532303368690574E-5</v>
      </c>
    </row>
    <row r="63" spans="1:2">
      <c r="A63" s="1">
        <v>45383</v>
      </c>
      <c r="B63">
        <f>Returns!B468*Returns!C468</f>
        <v>1.5708915391772442E-4</v>
      </c>
    </row>
    <row r="64" spans="1:2">
      <c r="A64" s="1">
        <v>45384</v>
      </c>
      <c r="B64">
        <f>Returns!B469*Returns!C469</f>
        <v>7.1263066515617137E-5</v>
      </c>
    </row>
    <row r="65" spans="1:2">
      <c r="A65" s="1">
        <v>45385</v>
      </c>
      <c r="B65">
        <f>Returns!B470*Returns!C470</f>
        <v>9.6796333461551164E-5</v>
      </c>
    </row>
    <row r="66" spans="1:2">
      <c r="A66" s="1">
        <v>45386</v>
      </c>
      <c r="B66">
        <f>Returns!B471*Returns!C471</f>
        <v>8.2625176447551586E-5</v>
      </c>
    </row>
    <row r="67" spans="1:2">
      <c r="A67" s="1">
        <v>45387</v>
      </c>
      <c r="B67">
        <f>Returns!B472*Returns!C472</f>
        <v>-2.4834184602070892E-6</v>
      </c>
    </row>
    <row r="68" spans="1:2">
      <c r="A68" s="1">
        <v>45390</v>
      </c>
      <c r="B68">
        <f>Returns!B473*Returns!C473</f>
        <v>3.9228673267996663E-5</v>
      </c>
    </row>
    <row r="69" spans="1:2">
      <c r="A69" s="1">
        <v>45391</v>
      </c>
      <c r="B69">
        <f>Returns!B474*Returns!C474</f>
        <v>-1.3414173746817166E-4</v>
      </c>
    </row>
    <row r="70" spans="1:2">
      <c r="A70" s="1">
        <v>45392</v>
      </c>
      <c r="B70">
        <f>Returns!B475*Returns!C475</f>
        <v>2.725530041164822E-4</v>
      </c>
    </row>
    <row r="71" spans="1:2">
      <c r="A71" s="1">
        <v>45393</v>
      </c>
      <c r="B71">
        <f>Returns!B476*Returns!C476</f>
        <v>-1.231651589524472E-5</v>
      </c>
    </row>
    <row r="72" spans="1:2">
      <c r="A72" s="1">
        <v>45394</v>
      </c>
      <c r="B72">
        <f>Returns!B477*Returns!C477</f>
        <v>2.9788243073264678E-4</v>
      </c>
    </row>
    <row r="73" spans="1:2">
      <c r="A73" s="1">
        <v>45397</v>
      </c>
      <c r="B73">
        <f>Returns!B478*Returns!C478</f>
        <v>2.9751658881061134E-5</v>
      </c>
    </row>
    <row r="74" spans="1:2">
      <c r="A74" s="1">
        <v>45398</v>
      </c>
      <c r="B74">
        <f>Returns!B479*Returns!C479</f>
        <v>-3.0730199571680354E-5</v>
      </c>
    </row>
    <row r="75" spans="1:2">
      <c r="A75" s="1">
        <v>45399</v>
      </c>
      <c r="B75">
        <f>Returns!B480*Returns!C480</f>
        <v>-1.4440675034736544E-5</v>
      </c>
    </row>
    <row r="76" spans="1:2">
      <c r="A76" s="1">
        <v>45400</v>
      </c>
      <c r="B76">
        <f>Returns!B481*Returns!C481</f>
        <v>7.3144560960917822E-7</v>
      </c>
    </row>
    <row r="77" spans="1:2">
      <c r="A77" s="1">
        <v>45401</v>
      </c>
      <c r="B77">
        <f>Returns!B482*Returns!C482</f>
        <v>-5.0313773175899014E-5</v>
      </c>
    </row>
    <row r="78" spans="1:2">
      <c r="A78" s="1">
        <v>45404</v>
      </c>
      <c r="B78">
        <f>Returns!B483*Returns!C483</f>
        <v>2.2539587955114966E-5</v>
      </c>
    </row>
    <row r="79" spans="1:2">
      <c r="A79" s="1">
        <v>45405</v>
      </c>
      <c r="B79">
        <f>Returns!B484*Returns!C484</f>
        <v>-7.4226835955048672E-6</v>
      </c>
    </row>
    <row r="80" spans="1:2">
      <c r="A80" s="1">
        <v>45406</v>
      </c>
      <c r="B80">
        <f>Returns!B485*Returns!C485</f>
        <v>-4.1551844758160776E-4</v>
      </c>
    </row>
    <row r="81" spans="1:2">
      <c r="A81" s="1">
        <v>45407</v>
      </c>
      <c r="B81">
        <f>Returns!B486*Returns!C486</f>
        <v>3.883839640161172E-5</v>
      </c>
    </row>
    <row r="82" spans="1:2">
      <c r="A82" s="1">
        <v>45408</v>
      </c>
      <c r="B82">
        <f>Returns!B487*Returns!C487</f>
        <v>-1.2604858405551532E-6</v>
      </c>
    </row>
    <row r="83" spans="1:2">
      <c r="A83" s="1">
        <v>45411</v>
      </c>
      <c r="B83">
        <f>Returns!B488*Returns!C488</f>
        <v>1.6294304722830875E-4</v>
      </c>
    </row>
    <row r="84" spans="1:2">
      <c r="A84" s="1">
        <v>45412</v>
      </c>
      <c r="B84">
        <f>Returns!B489*Returns!C489</f>
        <v>1.5845481415306762E-4</v>
      </c>
    </row>
    <row r="85" spans="1:2">
      <c r="A85" s="1">
        <v>45413</v>
      </c>
      <c r="B85">
        <f>Returns!B490*Returns!C490</f>
        <v>4.4795460884201125E-5</v>
      </c>
    </row>
    <row r="86" spans="1:2">
      <c r="A86" s="1">
        <v>45414</v>
      </c>
      <c r="B86">
        <f>Returns!B491*Returns!C491</f>
        <v>1.9634501000154156E-5</v>
      </c>
    </row>
    <row r="87" spans="1:2">
      <c r="A87" s="1">
        <v>45415</v>
      </c>
      <c r="B87">
        <f>Returns!B492*Returns!C492</f>
        <v>1.2559528471516061E-5</v>
      </c>
    </row>
    <row r="88" spans="1:2">
      <c r="A88" s="1">
        <v>45418</v>
      </c>
      <c r="B88">
        <f>Returns!B493*Returns!C493</f>
        <v>-1.9083426441353746E-5</v>
      </c>
    </row>
    <row r="89" spans="1:2">
      <c r="A89" s="1">
        <v>45419</v>
      </c>
      <c r="B89">
        <f>Returns!B494*Returns!C494</f>
        <v>-3.5107204088314927E-5</v>
      </c>
    </row>
    <row r="90" spans="1:2">
      <c r="A90" s="1">
        <v>45420</v>
      </c>
      <c r="B90">
        <f>Returns!B495*Returns!C495</f>
        <v>6.5080065659439603E-5</v>
      </c>
    </row>
    <row r="91" spans="1:2">
      <c r="A91" s="1">
        <v>45421</v>
      </c>
      <c r="B91">
        <f>Returns!B496*Returns!C496</f>
        <v>-1.7863247046786338E-7</v>
      </c>
    </row>
    <row r="92" spans="1:2">
      <c r="A92" s="1">
        <v>45422</v>
      </c>
      <c r="B92">
        <f>Returns!B497*Returns!C497</f>
        <v>-8.3608158792658279E-5</v>
      </c>
    </row>
    <row r="93" spans="1:2">
      <c r="A93" s="1">
        <v>45425</v>
      </c>
      <c r="B93">
        <f>Returns!B498*Returns!C498</f>
        <v>-1.7902044669601552E-6</v>
      </c>
    </row>
    <row r="94" spans="1:2">
      <c r="A94" s="1">
        <v>45426</v>
      </c>
      <c r="B94">
        <f>Returns!B499*Returns!C499</f>
        <v>-1.0481410675047194E-4</v>
      </c>
    </row>
    <row r="95" spans="1:2">
      <c r="A95" s="1">
        <v>45427</v>
      </c>
      <c r="B95">
        <f>Returns!B500*Returns!C500</f>
        <v>7.8635541519214048E-7</v>
      </c>
    </row>
    <row r="96" spans="1:2">
      <c r="A96" s="1">
        <v>45428</v>
      </c>
      <c r="B96">
        <f>Returns!B501*Returns!C501</f>
        <v>8.4204184122825339E-5</v>
      </c>
    </row>
    <row r="97" spans="1:2">
      <c r="A97" s="1">
        <v>45429</v>
      </c>
      <c r="B97">
        <f>Returns!B502*Returns!C502</f>
        <v>-5.5387625851574223E-5</v>
      </c>
    </row>
    <row r="98" spans="1:2">
      <c r="A98" s="1">
        <v>45432</v>
      </c>
      <c r="B98">
        <f>Returns!B503*Returns!C503</f>
        <v>-7.0096098941608989E-5</v>
      </c>
    </row>
    <row r="99" spans="1:2">
      <c r="A99" s="1">
        <v>45433</v>
      </c>
      <c r="B99">
        <f>Returns!B504*Returns!C504</f>
        <v>-4.8264168870492281E-5</v>
      </c>
    </row>
    <row r="100" spans="1:2">
      <c r="A100" s="1">
        <v>45434</v>
      </c>
      <c r="B100">
        <f>Returns!B505*Returns!C505</f>
        <v>7.4462281262186359E-6</v>
      </c>
    </row>
    <row r="101" spans="1:2">
      <c r="A101" s="1">
        <v>45435</v>
      </c>
      <c r="B101">
        <f>Returns!B506*Returns!C506</f>
        <v>1.1298015126561206E-3</v>
      </c>
    </row>
    <row r="102" spans="1:2">
      <c r="A102" s="1">
        <v>45436</v>
      </c>
      <c r="B102">
        <f>Returns!B507*Returns!C507</f>
        <v>-2.6323023676912951E-5</v>
      </c>
    </row>
    <row r="103" spans="1:2">
      <c r="A103" s="1">
        <v>45440</v>
      </c>
      <c r="B103">
        <f>Returns!B508*Returns!C508</f>
        <v>-1.0956919429698317E-5</v>
      </c>
    </row>
    <row r="104" spans="1:2">
      <c r="A104" s="1">
        <v>45441</v>
      </c>
      <c r="B104">
        <f>Returns!B509*Returns!C509</f>
        <v>4.8084390535881922E-5</v>
      </c>
    </row>
    <row r="105" spans="1:2">
      <c r="A105" s="1">
        <v>45442</v>
      </c>
      <c r="B105">
        <f>Returns!B510*Returns!C510</f>
        <v>2.4746815514307482E-5</v>
      </c>
    </row>
    <row r="106" spans="1:2">
      <c r="A106" s="1">
        <v>45443</v>
      </c>
      <c r="B106">
        <f>Returns!B511*Returns!C511</f>
        <v>4.2135660791294422E-4</v>
      </c>
    </row>
    <row r="107" spans="1:2">
      <c r="A107" s="1">
        <v>45446</v>
      </c>
      <c r="B107">
        <f>Returns!B512*Returns!C512</f>
        <v>-2.0109749744305044E-5</v>
      </c>
    </row>
    <row r="108" spans="1:2">
      <c r="A108" s="1">
        <v>45447</v>
      </c>
      <c r="B108">
        <f>Returns!B513*Returns!C513</f>
        <v>3.4088376824994179E-4</v>
      </c>
    </row>
    <row r="109" spans="1:2">
      <c r="A109" s="1">
        <v>45448</v>
      </c>
      <c r="B109">
        <f>Returns!B514*Returns!C514</f>
        <v>-5.3846352317211796E-6</v>
      </c>
    </row>
    <row r="110" spans="1:2">
      <c r="A110" s="1">
        <v>45449</v>
      </c>
      <c r="B110">
        <f>Returns!B515*Returns!C515</f>
        <v>2.5507395717646068E-5</v>
      </c>
    </row>
    <row r="111" spans="1:2">
      <c r="A111" s="1">
        <v>45450</v>
      </c>
      <c r="B111">
        <f>Returns!B516*Returns!C516</f>
        <v>2.6233855274421805E-5</v>
      </c>
    </row>
    <row r="112" spans="1:2">
      <c r="A112" s="1">
        <v>45453</v>
      </c>
      <c r="B112">
        <f>Returns!B517*Returns!C517</f>
        <v>3.4920626575028953E-6</v>
      </c>
    </row>
    <row r="113" spans="1:2">
      <c r="A113" s="1">
        <v>45454</v>
      </c>
      <c r="B113">
        <f>Returns!B518*Returns!C518</f>
        <v>2.775953922365839E-5</v>
      </c>
    </row>
    <row r="114" spans="1:2">
      <c r="A114" s="1">
        <v>45455</v>
      </c>
      <c r="B114">
        <f>Returns!B519*Returns!C519</f>
        <v>1.6869178615448738E-4</v>
      </c>
    </row>
    <row r="115" spans="1:2">
      <c r="A115" s="1">
        <v>45456</v>
      </c>
      <c r="B115">
        <f>Returns!B520*Returns!C520</f>
        <v>-1.3334426776443419E-5</v>
      </c>
    </row>
    <row r="116" spans="1:2">
      <c r="A116" s="1">
        <v>45457</v>
      </c>
      <c r="B116">
        <f>Returns!B521*Returns!C521</f>
        <v>-3.9220087609780955E-6</v>
      </c>
    </row>
    <row r="117" spans="1:2">
      <c r="A117" s="1">
        <v>45460</v>
      </c>
      <c r="B117">
        <f>Returns!B522*Returns!C522</f>
        <v>3.8271956435544702E-6</v>
      </c>
    </row>
    <row r="118" spans="1:2">
      <c r="A118" s="1">
        <v>45461</v>
      </c>
      <c r="B118">
        <f>Returns!B523*Returns!C523</f>
        <v>6.7381074910283596E-6</v>
      </c>
    </row>
    <row r="119" spans="1:2">
      <c r="A119" s="1">
        <v>45463</v>
      </c>
      <c r="B119">
        <f>Returns!B524*Returns!C524</f>
        <v>-5.7616550648792418E-5</v>
      </c>
    </row>
    <row r="120" spans="1:2">
      <c r="A120" s="1">
        <v>45464</v>
      </c>
      <c r="B120">
        <f>Returns!B525*Returns!C525</f>
        <v>1.3220488305611111E-5</v>
      </c>
    </row>
    <row r="121" spans="1:2">
      <c r="A121" s="1">
        <v>45467</v>
      </c>
      <c r="B121">
        <f>Returns!B526*Returns!C526</f>
        <v>2.6760869921140456E-4</v>
      </c>
    </row>
    <row r="122" spans="1:2">
      <c r="A122" s="1">
        <v>45468</v>
      </c>
      <c r="B122">
        <f>Returns!B527*Returns!C527</f>
        <v>5.6852603680954669E-5</v>
      </c>
    </row>
    <row r="123" spans="1:2">
      <c r="A123" s="1">
        <v>45469</v>
      </c>
      <c r="B123">
        <f>Returns!B528*Returns!C528</f>
        <v>5.3903243659755779E-5</v>
      </c>
    </row>
    <row r="124" spans="1:2">
      <c r="A124" s="1">
        <v>45470</v>
      </c>
      <c r="B124">
        <f>Returns!B529*Returns!C529</f>
        <v>-6.0628791108508776E-5</v>
      </c>
    </row>
    <row r="125" spans="1:2">
      <c r="A125" s="1">
        <v>45471</v>
      </c>
      <c r="B125">
        <f>Returns!B530*Returns!C530</f>
        <v>1.2559083232022062E-5</v>
      </c>
    </row>
    <row r="126" spans="1:2">
      <c r="A126" s="1">
        <v>45474</v>
      </c>
      <c r="B126">
        <f>Returns!B531*Returns!C531</f>
        <v>-1.6300332705414901E-4</v>
      </c>
    </row>
    <row r="127" spans="1:2">
      <c r="A127" s="1">
        <v>45475</v>
      </c>
      <c r="B127">
        <f>Returns!B532*Returns!C532</f>
        <v>1.7606883535910071E-5</v>
      </c>
    </row>
    <row r="128" spans="1:2">
      <c r="A128" s="1">
        <v>45476</v>
      </c>
      <c r="B128">
        <f>Returns!B533*Returns!C533</f>
        <v>-1.399525392459057E-5</v>
      </c>
    </row>
    <row r="129" spans="1:2">
      <c r="A129" s="1">
        <v>45478</v>
      </c>
      <c r="B129">
        <f>Returns!B534*Returns!C534</f>
        <v>1.7697375460451907E-5</v>
      </c>
    </row>
    <row r="130" spans="1:2">
      <c r="A130" s="1">
        <v>45481</v>
      </c>
      <c r="B130">
        <f>Returns!B535*Returns!C535</f>
        <v>-7.13442795342668E-5</v>
      </c>
    </row>
    <row r="131" spans="1:2">
      <c r="A131" s="1">
        <v>45482</v>
      </c>
      <c r="B131">
        <f>Returns!B536*Returns!C536</f>
        <v>6.718496457304157E-5</v>
      </c>
    </row>
    <row r="132" spans="1:2">
      <c r="A132" s="1">
        <v>45483</v>
      </c>
      <c r="B132">
        <f>Returns!B537*Returns!C537</f>
        <v>4.5964528328107341E-6</v>
      </c>
    </row>
    <row r="133" spans="1:2">
      <c r="A133" s="1">
        <v>45484</v>
      </c>
      <c r="B133">
        <f>Returns!B538*Returns!C538</f>
        <v>3.7006732910236307E-6</v>
      </c>
    </row>
    <row r="134" spans="1:2">
      <c r="A134" s="1">
        <v>45485</v>
      </c>
      <c r="B134">
        <f>Returns!B539*Returns!C539</f>
        <v>-7.827729223092034E-5</v>
      </c>
    </row>
    <row r="135" spans="1:2">
      <c r="A135" s="1">
        <v>45488</v>
      </c>
      <c r="B135">
        <f>Returns!B540*Returns!C540</f>
        <v>8.8927608284073093E-5</v>
      </c>
    </row>
    <row r="136" spans="1:2">
      <c r="A136" s="1">
        <v>45489</v>
      </c>
      <c r="B136">
        <f>Returns!B541*Returns!C541</f>
        <v>5.0560131214227541E-4</v>
      </c>
    </row>
    <row r="137" spans="1:2">
      <c r="A137" s="1">
        <v>45490</v>
      </c>
      <c r="B137">
        <f>Returns!B542*Returns!C542</f>
        <v>-9.180901258397225E-5</v>
      </c>
    </row>
    <row r="138" spans="1:2">
      <c r="A138" s="1">
        <v>45491</v>
      </c>
      <c r="B138">
        <f>Returns!B543*Returns!C543</f>
        <v>2.0453252529843386E-5</v>
      </c>
    </row>
    <row r="139" spans="1:2">
      <c r="A139" s="1">
        <v>45492</v>
      </c>
      <c r="B139">
        <f>Returns!B544*Returns!C544</f>
        <v>-3.1739561015393562E-6</v>
      </c>
    </row>
    <row r="140" spans="1:2">
      <c r="A140" s="1">
        <v>45495</v>
      </c>
      <c r="B140">
        <f>Returns!B545*Returns!C545</f>
        <v>3.634766925607149E-5</v>
      </c>
    </row>
    <row r="141" spans="1:2">
      <c r="A141" s="1">
        <v>45496</v>
      </c>
      <c r="B141">
        <f>Returns!B546*Returns!C546</f>
        <v>1.0253936605187988E-4</v>
      </c>
    </row>
    <row r="142" spans="1:2">
      <c r="A142" s="1">
        <v>45497</v>
      </c>
      <c r="B142">
        <f>Returns!B547*Returns!C547</f>
        <v>-4.3216129616941752E-4</v>
      </c>
    </row>
    <row r="143" spans="1:2">
      <c r="A143" s="1">
        <v>45498</v>
      </c>
      <c r="B143">
        <f>Returns!B548*Returns!C548</f>
        <v>8.1698776262667213E-5</v>
      </c>
    </row>
    <row r="144" spans="1:2">
      <c r="A144" s="1">
        <v>45499</v>
      </c>
      <c r="B144">
        <f>Returns!B549*Returns!C549</f>
        <v>1.9727310917912316E-4</v>
      </c>
    </row>
    <row r="145" spans="1:2">
      <c r="A145" s="1">
        <v>45502</v>
      </c>
      <c r="B145">
        <f>Returns!B550*Returns!C550</f>
        <v>2.9648903816254875E-5</v>
      </c>
    </row>
    <row r="146" spans="1:2">
      <c r="A146" s="1">
        <v>45503</v>
      </c>
      <c r="B146">
        <f>Returns!B551*Returns!C551</f>
        <v>9.41069345864363E-5</v>
      </c>
    </row>
    <row r="147" spans="1:2">
      <c r="A147" s="1">
        <v>45504</v>
      </c>
      <c r="B147">
        <f>Returns!B552*Returns!C552</f>
        <v>-2.8823287361900534E-4</v>
      </c>
    </row>
    <row r="148" spans="1:2">
      <c r="A148" s="1">
        <v>45505</v>
      </c>
      <c r="B148">
        <f>Returns!B553*Returns!C553</f>
        <v>-1.1456297709351363E-3</v>
      </c>
    </row>
    <row r="149" spans="1:2">
      <c r="A149" s="1">
        <v>45506</v>
      </c>
      <c r="B149">
        <f>Returns!B554*Returns!C554</f>
        <v>-9.2112613027618326E-4</v>
      </c>
    </row>
    <row r="150" spans="1:2">
      <c r="A150" s="1">
        <v>45509</v>
      </c>
      <c r="B150">
        <f>Returns!B555*Returns!C555</f>
        <v>3.1367351583260557E-4</v>
      </c>
    </row>
    <row r="151" spans="1:2">
      <c r="A151" s="1">
        <v>45510</v>
      </c>
      <c r="B151">
        <f>Returns!B556*Returns!C556</f>
        <v>1.4862028396217758E-5</v>
      </c>
    </row>
    <row r="152" spans="1:2">
      <c r="A152" s="1">
        <v>45511</v>
      </c>
      <c r="B152">
        <f>Returns!B557*Returns!C557</f>
        <v>-6.0121326305040336E-5</v>
      </c>
    </row>
    <row r="153" spans="1:2">
      <c r="A153" s="1">
        <v>45512</v>
      </c>
      <c r="B153">
        <f>Returns!B558*Returns!C558</f>
        <v>1.1832426768087913E-4</v>
      </c>
    </row>
    <row r="154" spans="1:2">
      <c r="A154" s="1">
        <v>45513</v>
      </c>
      <c r="B154">
        <f>Returns!B559*Returns!C559</f>
        <v>7.0562549133579433E-6</v>
      </c>
    </row>
    <row r="155" spans="1:2">
      <c r="A155" s="1">
        <v>45516</v>
      </c>
      <c r="B155">
        <f>Returns!B560*Returns!C560</f>
        <v>1.787349564355824E-4</v>
      </c>
    </row>
    <row r="156" spans="1:2">
      <c r="A156" s="1">
        <v>45517</v>
      </c>
      <c r="B156">
        <f>Returns!B561*Returns!C561</f>
        <v>1.0551804654549112E-4</v>
      </c>
    </row>
    <row r="157" spans="1:2">
      <c r="A157" s="1">
        <v>45518</v>
      </c>
      <c r="B157">
        <f>Returns!B562*Returns!C562</f>
        <v>-1.9124164234010507E-6</v>
      </c>
    </row>
    <row r="158" spans="1:2">
      <c r="A158" s="1">
        <v>45519</v>
      </c>
      <c r="B158">
        <f>Returns!B563*Returns!C563</f>
        <v>2.3816209977845662E-5</v>
      </c>
    </row>
    <row r="159" spans="1:2">
      <c r="A159" s="1">
        <v>45520</v>
      </c>
      <c r="B159">
        <f>Returns!B564*Returns!C564</f>
        <v>1.4624541744705344E-4</v>
      </c>
    </row>
    <row r="160" spans="1:2">
      <c r="A160" s="1">
        <v>45523</v>
      </c>
      <c r="B160">
        <f>Returns!B565*Returns!C565</f>
        <v>6.6256542446267658E-6</v>
      </c>
    </row>
    <row r="161" spans="1:2">
      <c r="A161" s="1">
        <v>45524</v>
      </c>
      <c r="B161">
        <f>Returns!B566*Returns!C566</f>
        <v>-2.2185014064057433E-4</v>
      </c>
    </row>
    <row r="162" spans="1:2">
      <c r="A162" s="1">
        <v>45525</v>
      </c>
      <c r="B162">
        <f>Returns!B567*Returns!C567</f>
        <v>1.7195204344528078E-5</v>
      </c>
    </row>
    <row r="163" spans="1:2">
      <c r="A163" s="1">
        <v>45526</v>
      </c>
      <c r="B163">
        <f>Returns!B568*Returns!C568</f>
        <v>1.5316573620964131E-5</v>
      </c>
    </row>
    <row r="164" spans="1:2">
      <c r="A164" s="1">
        <v>45527</v>
      </c>
      <c r="B164">
        <f>Returns!B569*Returns!C569</f>
        <v>7.794509779172513E-5</v>
      </c>
    </row>
    <row r="165" spans="1:2">
      <c r="A165" s="1">
        <v>45530</v>
      </c>
      <c r="B165">
        <f>Returns!B570*Returns!C570</f>
        <v>-1.2295321280183919E-4</v>
      </c>
    </row>
    <row r="166" spans="1:2">
      <c r="A166" s="1">
        <v>45531</v>
      </c>
      <c r="B166">
        <f>Returns!B571*Returns!C571</f>
        <v>-2.1836461005422634E-5</v>
      </c>
    </row>
    <row r="167" spans="1:2">
      <c r="A167" s="1">
        <v>45532</v>
      </c>
      <c r="B167">
        <f>Returns!B572*Returns!C572</f>
        <v>-4.034439620632499E-5</v>
      </c>
    </row>
    <row r="168" spans="1:2">
      <c r="A168" s="1">
        <v>45533</v>
      </c>
      <c r="B168">
        <f>Returns!B573*Returns!C573</f>
        <v>3.3298276433806969E-5</v>
      </c>
    </row>
    <row r="169" spans="1:2">
      <c r="A169" s="1">
        <v>45534</v>
      </c>
      <c r="B169">
        <f>Returns!B574*Returns!C574</f>
        <v>4.5665909004865829E-5</v>
      </c>
    </row>
    <row r="170" spans="1:2">
      <c r="A170" s="1">
        <v>45538</v>
      </c>
      <c r="B170">
        <f>Returns!B575*Returns!C575</f>
        <v>-5.0797667419313843E-4</v>
      </c>
    </row>
    <row r="171" spans="1:2">
      <c r="A171" s="1">
        <v>45539</v>
      </c>
      <c r="B171">
        <f>Returns!B576*Returns!C576</f>
        <v>-9.1213902904435675E-5</v>
      </c>
    </row>
    <row r="172" spans="1:2">
      <c r="A172" s="1">
        <v>45540</v>
      </c>
      <c r="B172">
        <f>Returns!B577*Returns!C577</f>
        <v>1.2898178792623087E-4</v>
      </c>
    </row>
    <row r="173" spans="1:2">
      <c r="A173" s="1">
        <v>45541</v>
      </c>
      <c r="B173">
        <f>Returns!B578*Returns!C578</f>
        <v>2.6113750483173811E-5</v>
      </c>
    </row>
    <row r="174" spans="1:2">
      <c r="A174" s="1">
        <v>45544</v>
      </c>
      <c r="B174">
        <f>Returns!B579*Returns!C579</f>
        <v>3.1771361456204569E-4</v>
      </c>
    </row>
    <row r="175" spans="1:2">
      <c r="A175" s="1">
        <v>45545</v>
      </c>
      <c r="B175">
        <f>Returns!B580*Returns!C580</f>
        <v>8.1741073111341161E-5</v>
      </c>
    </row>
    <row r="176" spans="1:2">
      <c r="A176" s="1">
        <v>45546</v>
      </c>
      <c r="B176">
        <f>Returns!B581*Returns!C581</f>
        <v>-5.5735216956235279E-5</v>
      </c>
    </row>
    <row r="177" spans="1:2">
      <c r="A177" s="1">
        <v>45547</v>
      </c>
      <c r="B177">
        <f>Returns!B582*Returns!C582</f>
        <v>1.4254440674516051E-5</v>
      </c>
    </row>
    <row r="178" spans="1:2">
      <c r="A178" s="1">
        <v>45548</v>
      </c>
      <c r="B178">
        <f>Returns!B583*Returns!C583</f>
        <v>-3.275945971301072E-4</v>
      </c>
    </row>
    <row r="179" spans="1:2">
      <c r="A179" s="1">
        <v>45551</v>
      </c>
      <c r="B179">
        <f>Returns!B584*Returns!C584</f>
        <v>-7.1216819305433573E-5</v>
      </c>
    </row>
    <row r="180" spans="1:2">
      <c r="A180" s="1">
        <v>45552</v>
      </c>
      <c r="B180">
        <f>Returns!B585*Returns!C585</f>
        <v>-2.5232472263106797E-5</v>
      </c>
    </row>
    <row r="181" spans="1:2">
      <c r="A181" s="1">
        <v>45553</v>
      </c>
      <c r="B181">
        <f>Returns!B586*Returns!C586</f>
        <v>9.9020626615225037E-6</v>
      </c>
    </row>
    <row r="182" spans="1:2">
      <c r="A182" s="1">
        <v>45554</v>
      </c>
      <c r="B182">
        <f>Returns!B587*Returns!C587</f>
        <v>5.4547740318553176E-5</v>
      </c>
    </row>
    <row r="183" spans="1:2">
      <c r="A183" s="1">
        <v>45555</v>
      </c>
      <c r="B183">
        <f>Returns!B588*Returns!C588</f>
        <v>-1.1716933508642333E-4</v>
      </c>
    </row>
    <row r="184" spans="1:2">
      <c r="A184" s="1">
        <v>45558</v>
      </c>
      <c r="B184">
        <f>Returns!B589*Returns!C589</f>
        <v>1.4590213999736084E-5</v>
      </c>
    </row>
    <row r="185" spans="1:2">
      <c r="A185" s="1">
        <v>45559</v>
      </c>
      <c r="B185">
        <f>Returns!B590*Returns!C590</f>
        <v>1.9102264097162587E-5</v>
      </c>
    </row>
    <row r="186" spans="1:2">
      <c r="A186" s="1">
        <v>45560</v>
      </c>
      <c r="B186">
        <f>Returns!B591*Returns!C591</f>
        <v>-2.6940982695354489E-5</v>
      </c>
    </row>
    <row r="187" spans="1:2">
      <c r="A187" s="1">
        <v>45561</v>
      </c>
      <c r="B187">
        <f>Returns!B592*Returns!C592</f>
        <v>-1.8805491316995481E-5</v>
      </c>
    </row>
    <row r="188" spans="1:2">
      <c r="A188" s="1">
        <v>45562</v>
      </c>
      <c r="B188">
        <f>Returns!B593*Returns!C593</f>
        <v>5.5701122023521388E-5</v>
      </c>
    </row>
    <row r="189" spans="1:2">
      <c r="A189" s="1">
        <v>45565</v>
      </c>
      <c r="B189">
        <f>Returns!B594*Returns!C594</f>
        <v>-1.2642387231978613E-5</v>
      </c>
    </row>
    <row r="190" spans="1:2">
      <c r="A190" s="1">
        <v>45566</v>
      </c>
      <c r="B190">
        <f>Returns!B595*Returns!C595</f>
        <v>-3.7283482319564112E-5</v>
      </c>
    </row>
    <row r="191" spans="1:2">
      <c r="A191" s="1">
        <v>45567</v>
      </c>
      <c r="B191">
        <f>Returns!B596*Returns!C596</f>
        <v>8.8627509764220599E-5</v>
      </c>
    </row>
    <row r="192" spans="1:2">
      <c r="A192" s="1">
        <v>45568</v>
      </c>
      <c r="B192">
        <f>Returns!B597*Returns!C597</f>
        <v>1.1493549258365545E-4</v>
      </c>
    </row>
    <row r="193" spans="1:2">
      <c r="A193" s="1">
        <v>45569</v>
      </c>
      <c r="B193">
        <f>Returns!B598*Returns!C598</f>
        <v>-1.6298721067041177E-4</v>
      </c>
    </row>
    <row r="194" spans="1:2">
      <c r="A194" s="1">
        <v>45572</v>
      </c>
      <c r="B194">
        <f>Returns!B599*Returns!C599</f>
        <v>-1.0003723307031259E-4</v>
      </c>
    </row>
    <row r="195" spans="1:2">
      <c r="A195" s="1">
        <v>45573</v>
      </c>
      <c r="B195">
        <f>Returns!B600*Returns!C600</f>
        <v>-1.5764813089972308E-5</v>
      </c>
    </row>
    <row r="196" spans="1:2">
      <c r="A196" s="1">
        <v>45574</v>
      </c>
      <c r="B196">
        <f>Returns!B601*Returns!C601</f>
        <v>-1.7495561378008201E-4</v>
      </c>
    </row>
    <row r="197" spans="1:2">
      <c r="A197" s="1">
        <v>45575</v>
      </c>
      <c r="B197">
        <f>Returns!B602*Returns!C602</f>
        <v>9.4139189600494743E-5</v>
      </c>
    </row>
    <row r="198" spans="1:2">
      <c r="A198" s="1">
        <v>45576</v>
      </c>
      <c r="B198">
        <f>Returns!B603*Returns!C603</f>
        <v>1.2326231513787162E-4</v>
      </c>
    </row>
    <row r="199" spans="1:2">
      <c r="A199" s="1">
        <v>45579</v>
      </c>
      <c r="B199">
        <f>Returns!B604*Returns!C604</f>
        <v>-1.4189530729187308E-4</v>
      </c>
    </row>
    <row r="200" spans="1:2">
      <c r="A200" s="1">
        <v>45580</v>
      </c>
      <c r="B200">
        <f>Returns!B605*Returns!C605</f>
        <v>-1.1572634275487791E-5</v>
      </c>
    </row>
    <row r="201" spans="1:2">
      <c r="A201" s="1">
        <v>45581</v>
      </c>
      <c r="B201">
        <f>Returns!B606*Returns!C606</f>
        <v>4.6135279225153474E-5</v>
      </c>
    </row>
    <row r="202" spans="1:2">
      <c r="A202" s="1">
        <v>45582</v>
      </c>
      <c r="B202">
        <f>Returns!B607*Returns!C607</f>
        <v>-2.6470381603510241E-5</v>
      </c>
    </row>
    <row r="203" spans="1:2">
      <c r="A203" s="1">
        <v>45583</v>
      </c>
      <c r="B203">
        <f>Returns!B608*Returns!C608</f>
        <v>-1.4407791017395273E-5</v>
      </c>
    </row>
    <row r="204" spans="1:2">
      <c r="A204" s="1">
        <v>45586</v>
      </c>
      <c r="B204">
        <f>Returns!B609*Returns!C609</f>
        <v>-4.5298194636521398E-4</v>
      </c>
    </row>
    <row r="205" spans="1:2">
      <c r="A205" s="1">
        <v>45587</v>
      </c>
      <c r="B205">
        <f>Returns!B610*Returns!C610</f>
        <v>-1.9175285342298356E-7</v>
      </c>
    </row>
    <row r="206" spans="1:2">
      <c r="A206" s="1">
        <v>45588</v>
      </c>
      <c r="B206">
        <f>Returns!B611*Returns!C611</f>
        <v>3.7480557982780011E-4</v>
      </c>
    </row>
    <row r="207" spans="1:2">
      <c r="A207" s="1">
        <v>45589</v>
      </c>
      <c r="B207">
        <f>Returns!B612*Returns!C612</f>
        <v>1.2972986105143822E-4</v>
      </c>
    </row>
    <row r="208" spans="1:2">
      <c r="A208" s="1">
        <v>45590</v>
      </c>
      <c r="B208">
        <f>Returns!B613*Returns!C613</f>
        <v>7.5518086957734513E-6</v>
      </c>
    </row>
    <row r="209" spans="1:2">
      <c r="A209" s="1">
        <v>45593</v>
      </c>
      <c r="B209">
        <f>Returns!B614*Returns!C614</f>
        <v>1.1842278820668627E-4</v>
      </c>
    </row>
    <row r="210" spans="1:2">
      <c r="A210" s="1">
        <v>45594</v>
      </c>
      <c r="B210">
        <f>Returns!B615*Returns!C615</f>
        <v>-2.6078303206056622E-4</v>
      </c>
    </row>
    <row r="211" spans="1:2">
      <c r="A211" s="1">
        <v>45595</v>
      </c>
      <c r="B211">
        <f>Returns!B616*Returns!C616</f>
        <v>4.2618976225428313E-5</v>
      </c>
    </row>
    <row r="212" spans="1:2">
      <c r="A212" s="1">
        <v>45596</v>
      </c>
      <c r="B212">
        <f>Returns!B617*Returns!C617</f>
        <v>3.1525750443842765E-4</v>
      </c>
    </row>
    <row r="213" spans="1:2">
      <c r="A213" s="1">
        <v>45597</v>
      </c>
      <c r="B213">
        <f>Returns!B618*Returns!C618</f>
        <v>-1.8057350182118037E-4</v>
      </c>
    </row>
    <row r="214" spans="1:2">
      <c r="A214" s="1">
        <v>45600</v>
      </c>
      <c r="B214">
        <f>Returns!B619*Returns!C619</f>
        <v>3.1805637103104803E-6</v>
      </c>
    </row>
    <row r="215" spans="1:2">
      <c r="A215" s="1">
        <v>45601</v>
      </c>
      <c r="B215">
        <f>Returns!B620*Returns!C620</f>
        <v>-9.1349342930257225E-5</v>
      </c>
    </row>
    <row r="216" spans="1:2">
      <c r="A216" s="1">
        <v>45602</v>
      </c>
      <c r="B216">
        <f>Returns!B621*Returns!C621</f>
        <v>6.6276773879059259E-4</v>
      </c>
    </row>
    <row r="217" spans="1:2">
      <c r="A217" s="1">
        <v>45603</v>
      </c>
      <c r="B217">
        <f>Returns!B622*Returns!C622</f>
        <v>-2.9620344452682402E-5</v>
      </c>
    </row>
    <row r="218" spans="1:2">
      <c r="A218" s="1">
        <v>45604</v>
      </c>
      <c r="B218">
        <f>Returns!B623*Returns!C623</f>
        <v>1.6550188870342247E-5</v>
      </c>
    </row>
    <row r="219" spans="1:2">
      <c r="A219" s="1">
        <v>45607</v>
      </c>
      <c r="B219">
        <f>Returns!B624*Returns!C624</f>
        <v>1.6632377836903219E-4</v>
      </c>
    </row>
    <row r="220" spans="1:2">
      <c r="A220" s="1">
        <v>45608</v>
      </c>
      <c r="B220">
        <f>Returns!B625*Returns!C625</f>
        <v>7.7313567372898728E-5</v>
      </c>
    </row>
    <row r="221" spans="1:2">
      <c r="A221" s="1">
        <v>45609</v>
      </c>
      <c r="B221">
        <f>Returns!B626*Returns!C626</f>
        <v>1.3174535001606586E-4</v>
      </c>
    </row>
    <row r="222" spans="1:2">
      <c r="A222" s="1">
        <v>45610</v>
      </c>
      <c r="B222">
        <f>Returns!B627*Returns!C627</f>
        <v>1.001100552727205E-4</v>
      </c>
    </row>
    <row r="223" spans="1:2">
      <c r="A223" s="1">
        <v>45611</v>
      </c>
      <c r="B223">
        <f>Returns!B628*Returns!C628</f>
        <v>-1.9976562771519238E-4</v>
      </c>
    </row>
    <row r="224" spans="1:2">
      <c r="A224" s="1">
        <v>45614</v>
      </c>
      <c r="B224">
        <f>Returns!B629*Returns!C629</f>
        <v>3.7548206679987835E-5</v>
      </c>
    </row>
    <row r="225" spans="1:2">
      <c r="A225" s="1">
        <v>45615</v>
      </c>
      <c r="B225">
        <f>Returns!B630*Returns!C630</f>
        <v>1.3571099093943808E-4</v>
      </c>
    </row>
    <row r="226" spans="1:2">
      <c r="A226" s="1">
        <v>45616</v>
      </c>
      <c r="B226">
        <f>Returns!B631*Returns!C631</f>
        <v>1.9366248271046507E-5</v>
      </c>
    </row>
    <row r="227" spans="1:2">
      <c r="A227" s="1">
        <v>45617</v>
      </c>
      <c r="B227">
        <f>Returns!B632*Returns!C632</f>
        <v>-2.1406952756610454E-4</v>
      </c>
    </row>
    <row r="228" spans="1:2">
      <c r="A228" s="1">
        <v>45618</v>
      </c>
      <c r="B228">
        <f>Returns!B633*Returns!C633</f>
        <v>8.1844620734480741E-5</v>
      </c>
    </row>
    <row r="229" spans="1:2">
      <c r="A229" s="1">
        <v>45621</v>
      </c>
      <c r="B229">
        <f>Returns!B634*Returns!C634</f>
        <v>1.7055019606693797E-4</v>
      </c>
    </row>
    <row r="230" spans="1:2">
      <c r="A230" s="1">
        <v>45622</v>
      </c>
      <c r="B230">
        <f>Returns!B635*Returns!C635</f>
        <v>-3.2520777050368536E-5</v>
      </c>
    </row>
    <row r="231" spans="1:2">
      <c r="A231" s="1">
        <v>45623</v>
      </c>
      <c r="B231">
        <f>Returns!B636*Returns!C636</f>
        <v>-2.5802008171422724E-5</v>
      </c>
    </row>
    <row r="232" spans="1:2">
      <c r="A232" s="1">
        <v>45625</v>
      </c>
      <c r="B232">
        <f>Returns!B637*Returns!C637</f>
        <v>3.1873016114382904E-5</v>
      </c>
    </row>
    <row r="233" spans="1:2">
      <c r="A233" s="1">
        <v>45628</v>
      </c>
      <c r="B233">
        <f>Returns!B638*Returns!C638</f>
        <v>-5.1105599789232772E-5</v>
      </c>
    </row>
    <row r="234" spans="1:2">
      <c r="A234" s="1">
        <v>45629</v>
      </c>
      <c r="B234">
        <f>Returns!B639*Returns!C639</f>
        <v>2.5146336926093958E-5</v>
      </c>
    </row>
    <row r="235" spans="1:2">
      <c r="A235" s="1">
        <v>45630</v>
      </c>
      <c r="B235">
        <f>Returns!B640*Returns!C640</f>
        <v>-4.4724158762407106E-4</v>
      </c>
    </row>
    <row r="236" spans="1:2">
      <c r="A236" s="1">
        <v>45631</v>
      </c>
      <c r="B236">
        <f>Returns!B641*Returns!C641</f>
        <v>-1.1089030583339149E-4</v>
      </c>
    </row>
    <row r="237" spans="1:2">
      <c r="A237" s="1">
        <v>45632</v>
      </c>
      <c r="B237">
        <f>Returns!B642*Returns!C642</f>
        <v>1.1739046138603345E-4</v>
      </c>
    </row>
    <row r="238" spans="1:2">
      <c r="A238" s="1">
        <v>45635</v>
      </c>
      <c r="B238">
        <f>Returns!B643*Returns!C643</f>
        <v>1.224785027532251E-5</v>
      </c>
    </row>
    <row r="239" spans="1:2">
      <c r="A239" s="1">
        <v>45636</v>
      </c>
      <c r="B239">
        <f>Returns!B644*Returns!C644</f>
        <v>1.9955041447628841E-4</v>
      </c>
    </row>
    <row r="240" spans="1:2">
      <c r="A240" s="1">
        <v>45637</v>
      </c>
      <c r="B240">
        <f>Returns!B645*Returns!C645</f>
        <v>-5.4454291919742981E-5</v>
      </c>
    </row>
    <row r="241" spans="1:2">
      <c r="A241" s="1">
        <v>45638</v>
      </c>
      <c r="B241">
        <f>Returns!B646*Returns!C646</f>
        <v>2.0105447030983512E-4</v>
      </c>
    </row>
    <row r="242" spans="1:2">
      <c r="A242" s="1">
        <v>45639</v>
      </c>
      <c r="B242">
        <f>Returns!B647*Returns!C647</f>
        <v>-1.3353302585161151E-4</v>
      </c>
    </row>
    <row r="243" spans="1:2">
      <c r="A243" s="1">
        <v>45642</v>
      </c>
      <c r="B243">
        <f>Returns!B648*Returns!C648</f>
        <v>-1.9799966044310458E-4</v>
      </c>
    </row>
    <row r="244" spans="1:2">
      <c r="A244" s="1">
        <v>45643</v>
      </c>
      <c r="B244">
        <f>Returns!B649*Returns!C649</f>
        <v>-1.0594322386765142E-5</v>
      </c>
    </row>
    <row r="245" spans="1:2">
      <c r="A245" s="1">
        <v>45644</v>
      </c>
      <c r="B245">
        <f>Returns!B650*Returns!C650</f>
        <v>2.1788504630591883E-5</v>
      </c>
    </row>
    <row r="246" spans="1:2">
      <c r="A246" s="1">
        <v>45645</v>
      </c>
      <c r="B246">
        <f>Returns!B651*Returns!C651</f>
        <v>-1.7608768605372989E-4</v>
      </c>
    </row>
    <row r="247" spans="1:2">
      <c r="A247" s="1">
        <v>45646</v>
      </c>
      <c r="B247">
        <f>Returns!B652*Returns!C652</f>
        <v>1.9033429791240954E-6</v>
      </c>
    </row>
    <row r="248" spans="1:2">
      <c r="A248" s="1">
        <v>45649</v>
      </c>
      <c r="B248">
        <f>Returns!B653*Returns!C653</f>
        <v>-6.1883874110043725E-6</v>
      </c>
    </row>
    <row r="249" spans="1:2">
      <c r="A249" s="1">
        <v>45650</v>
      </c>
      <c r="B249">
        <f>Returns!B654*Returns!C654</f>
        <v>6.369753014231195E-5</v>
      </c>
    </row>
    <row r="250" spans="1:2">
      <c r="A250" s="1">
        <v>45652</v>
      </c>
      <c r="B250">
        <f>Returns!B655*Returns!C655</f>
        <v>-2.7884335818014245E-5</v>
      </c>
    </row>
    <row r="251" spans="1:2">
      <c r="A251" s="1">
        <v>45653</v>
      </c>
      <c r="B251">
        <f>Returns!B656*Returns!C656</f>
        <v>-4.5779266551533965E-6</v>
      </c>
    </row>
    <row r="252" spans="1:2">
      <c r="A252" s="1">
        <v>45656</v>
      </c>
      <c r="B252">
        <f>Returns!B657*Returns!C657</f>
        <v>1.6703921820106495E-4</v>
      </c>
    </row>
    <row r="253" spans="1:2">
      <c r="A253" s="1">
        <v>45657</v>
      </c>
      <c r="B253">
        <f>Returns!B658*Returns!C658</f>
        <v>8.136954387776033E-6</v>
      </c>
    </row>
    <row r="254" spans="1:2">
      <c r="A254" s="1">
        <v>45659</v>
      </c>
      <c r="B254">
        <f>Returns!B659*Returns!C659</f>
        <v>2.1040148101319115E-4</v>
      </c>
    </row>
    <row r="255" spans="1:2">
      <c r="A255" s="1">
        <v>45660</v>
      </c>
      <c r="B255">
        <f>Returns!B660*Returns!C660</f>
        <v>2.2567633348375592E-5</v>
      </c>
    </row>
    <row r="256" spans="1:2">
      <c r="A256" s="1">
        <v>45663</v>
      </c>
      <c r="B256">
        <f>Returns!B661*Returns!C661</f>
        <v>-8.1476802606271487E-5</v>
      </c>
    </row>
    <row r="257" spans="1:2">
      <c r="A257" s="1">
        <v>45664</v>
      </c>
      <c r="B257">
        <f>Returns!B662*Returns!C662</f>
        <v>-2.0149937694314115E-7</v>
      </c>
    </row>
    <row r="258" spans="1:2">
      <c r="A258" s="1">
        <v>45665</v>
      </c>
      <c r="B258">
        <f>Returns!B663*Returns!C663</f>
        <v>-5.9962797263226262E-5</v>
      </c>
    </row>
    <row r="259" spans="1:2">
      <c r="A259" s="1">
        <v>45667</v>
      </c>
      <c r="B259">
        <f>Returns!B664*Returns!C664</f>
        <v>-1.5189809940383809E-5</v>
      </c>
    </row>
    <row r="260" spans="1:2">
      <c r="A260" s="1">
        <v>45670</v>
      </c>
      <c r="B260">
        <f>Returns!B665*Returns!C665</f>
        <v>-7.4709283959322899E-5</v>
      </c>
    </row>
    <row r="261" spans="1:2">
      <c r="A261" s="1">
        <v>45671</v>
      </c>
      <c r="B261">
        <f>Returns!B666*Returns!C666</f>
        <v>-1.2098944004051992E-4</v>
      </c>
    </row>
    <row r="262" spans="1:2">
      <c r="A262" s="1">
        <v>45672</v>
      </c>
      <c r="B262">
        <f>Returns!B667*Returns!C667</f>
        <v>2.3895266982439751E-5</v>
      </c>
    </row>
    <row r="263" spans="1:2">
      <c r="A263" s="1">
        <v>45673</v>
      </c>
      <c r="B263">
        <f>Returns!B668*Returns!C668</f>
        <v>1.1920124848415636E-4</v>
      </c>
    </row>
    <row r="264" spans="1:2">
      <c r="A264" s="1">
        <v>45674</v>
      </c>
      <c r="B264">
        <f>Returns!B669*Returns!C669</f>
        <v>8.791102163113729E-5</v>
      </c>
    </row>
    <row r="265" spans="1:2">
      <c r="A265" s="1">
        <v>45678</v>
      </c>
      <c r="B265">
        <f>Returns!B670*Returns!C670</f>
        <v>-1.3422198923977155E-4</v>
      </c>
    </row>
    <row r="266" spans="1:2">
      <c r="A266" s="1">
        <v>45679</v>
      </c>
      <c r="B266">
        <f>Returns!B671*Returns!C671</f>
        <v>4.6625994934831538E-5</v>
      </c>
    </row>
    <row r="267" spans="1:2">
      <c r="A267" s="1">
        <v>45680</v>
      </c>
      <c r="B267">
        <f>Returns!B672*Returns!C672</f>
        <v>-9.6510164293229204E-5</v>
      </c>
    </row>
    <row r="268" spans="1:2">
      <c r="A268" s="1">
        <v>45681</v>
      </c>
      <c r="B268">
        <f>Returns!B673*Returns!C673</f>
        <v>-7.9637607227669348E-5</v>
      </c>
    </row>
    <row r="269" spans="1:2">
      <c r="A269" s="1">
        <v>45684</v>
      </c>
      <c r="B269">
        <f>Returns!B674*Returns!C674</f>
        <v>-1.5841525037847175E-4</v>
      </c>
    </row>
    <row r="270" spans="1:2">
      <c r="A270" s="1">
        <v>45685</v>
      </c>
      <c r="B270">
        <f>Returns!B675*Returns!C675</f>
        <v>-3.6126018468941358E-4</v>
      </c>
    </row>
    <row r="271" spans="1:2">
      <c r="A271" s="1">
        <v>45686</v>
      </c>
      <c r="B271">
        <f>Returns!B676*Returns!C676</f>
        <v>-1.6278454094388264E-4</v>
      </c>
    </row>
    <row r="272" spans="1:2">
      <c r="A272" s="1">
        <v>45687</v>
      </c>
      <c r="B272">
        <f>Returns!B677*Returns!C677</f>
        <v>6.3896338565288787E-4</v>
      </c>
    </row>
    <row r="273" spans="1:2">
      <c r="A273" s="1">
        <v>45688</v>
      </c>
      <c r="B273">
        <f>Returns!B678*Returns!C678</f>
        <v>1.5782685970257054E-4</v>
      </c>
    </row>
    <row r="274" spans="1:2">
      <c r="A274" s="1">
        <v>45691</v>
      </c>
      <c r="B274">
        <f>Returns!B679*Returns!C679</f>
        <v>9.4355090393702669E-6</v>
      </c>
    </row>
    <row r="275" spans="1:2">
      <c r="A275" s="1">
        <v>45692</v>
      </c>
      <c r="B275">
        <f>Returns!B680*Returns!C680</f>
        <v>-2.3002899103818491E-5</v>
      </c>
    </row>
    <row r="276" spans="1:2">
      <c r="A276" s="1">
        <v>45693</v>
      </c>
      <c r="B276">
        <f>Returns!B681*Returns!C681</f>
        <v>2.1223033397834394E-4</v>
      </c>
    </row>
    <row r="277" spans="1:2">
      <c r="A277" s="1">
        <v>45694</v>
      </c>
      <c r="B277">
        <f>Returns!B682*Returns!C682</f>
        <v>5.3534426263920482E-5</v>
      </c>
    </row>
    <row r="278" spans="1:2">
      <c r="A278" s="1">
        <v>45695</v>
      </c>
      <c r="B278">
        <f>Returns!B683*Returns!C683</f>
        <v>-1.2651219219350884E-4</v>
      </c>
    </row>
    <row r="279" spans="1:2">
      <c r="A279" s="1">
        <v>45698</v>
      </c>
      <c r="B279">
        <f>Returns!B684*Returns!C684</f>
        <v>-5.496308578664572E-5</v>
      </c>
    </row>
    <row r="280" spans="1:2">
      <c r="A280" s="1">
        <v>45699</v>
      </c>
      <c r="B280">
        <f>Returns!B685*Returns!C685</f>
        <v>-2.8557058077193487E-5</v>
      </c>
    </row>
    <row r="281" spans="1:2">
      <c r="A281" s="1">
        <v>45700</v>
      </c>
      <c r="B281">
        <f>Returns!B686*Returns!C686</f>
        <v>5.121578439174476E-4</v>
      </c>
    </row>
    <row r="282" spans="1:2">
      <c r="A282" s="1">
        <v>45701</v>
      </c>
      <c r="B282">
        <f>Returns!B687*Returns!C687</f>
        <v>-4.7790961693760476E-5</v>
      </c>
    </row>
    <row r="283" spans="1:2">
      <c r="A283" s="1">
        <v>45702</v>
      </c>
      <c r="B283">
        <f>Returns!B688*Returns!C688</f>
        <v>5.2700692981810234E-5</v>
      </c>
    </row>
    <row r="284" spans="1:2">
      <c r="A284" s="1">
        <v>45706</v>
      </c>
      <c r="B284">
        <f>Returns!B689*Returns!C689</f>
        <v>6.2608774835455149E-6</v>
      </c>
    </row>
    <row r="285" spans="1:2">
      <c r="A285" s="1">
        <v>45707</v>
      </c>
      <c r="B285">
        <f>Returns!B690*Returns!C690</f>
        <v>9.0935657779242867E-5</v>
      </c>
    </row>
    <row r="286" spans="1:2">
      <c r="A286" s="1">
        <v>45708</v>
      </c>
      <c r="B286">
        <f>Returns!B691*Returns!C691</f>
        <v>2.6648921017214433E-5</v>
      </c>
    </row>
    <row r="287" spans="1:2">
      <c r="A287" s="1">
        <v>45709</v>
      </c>
      <c r="B287">
        <f>Returns!B692*Returns!C692</f>
        <v>-3.7514210911688742E-4</v>
      </c>
    </row>
    <row r="288" spans="1:2">
      <c r="A288" s="1">
        <v>45712</v>
      </c>
      <c r="B288">
        <f>Returns!B693*Returns!C693</f>
        <v>-1.7393068920429139E-4</v>
      </c>
    </row>
    <row r="289" spans="1:2">
      <c r="A289" s="1">
        <v>45713</v>
      </c>
      <c r="B289">
        <f>Returns!B694*Returns!C694</f>
        <v>-1.1156634101559828E-4</v>
      </c>
    </row>
    <row r="290" spans="1:2">
      <c r="A290" s="1">
        <v>45714</v>
      </c>
      <c r="B290">
        <f>Returns!B695*Returns!C695</f>
        <v>2.9823027420904915E-4</v>
      </c>
    </row>
    <row r="291" spans="1:2">
      <c r="A291" s="1">
        <v>45715</v>
      </c>
      <c r="B291">
        <f>Returns!B696*Returns!C696</f>
        <v>2.1697945464154547E-6</v>
      </c>
    </row>
    <row r="292" spans="1:2">
      <c r="A292" s="1">
        <v>45716</v>
      </c>
      <c r="B292">
        <f>Returns!B697*Returns!C697</f>
        <v>1.9709951758027876E-5</v>
      </c>
    </row>
    <row r="293" spans="1:2">
      <c r="A293" s="1">
        <v>45719</v>
      </c>
      <c r="B293">
        <f>Returns!B698*Returns!C698</f>
        <v>-3.9451959534040314E-4</v>
      </c>
    </row>
    <row r="294" spans="1:2">
      <c r="A294" s="1">
        <v>45720</v>
      </c>
      <c r="B294">
        <f>Returns!B699*Returns!C699</f>
        <v>1.9665103560690218E-3</v>
      </c>
    </row>
    <row r="295" spans="1:2">
      <c r="A295" s="1">
        <v>45721</v>
      </c>
      <c r="B295">
        <f>Returns!B700*Returns!C700</f>
        <v>-5.5769029047047903E-5</v>
      </c>
    </row>
    <row r="296" spans="1:2">
      <c r="A296" s="1">
        <v>45722</v>
      </c>
      <c r="B296">
        <f>Returns!B701*Returns!C701</f>
        <v>-1.4232436065565453E-4</v>
      </c>
    </row>
    <row r="297" spans="1:2">
      <c r="A297" s="1">
        <v>45723</v>
      </c>
      <c r="B297">
        <f>Returns!B702*Returns!C702</f>
        <v>-3.5555620945515443E-4</v>
      </c>
    </row>
    <row r="298" spans="1:2">
      <c r="A298" s="1">
        <v>45726</v>
      </c>
      <c r="B298">
        <f>Returns!B703*Returns!C703</f>
        <v>9.1204165176427138E-6</v>
      </c>
    </row>
    <row r="299" spans="1:2">
      <c r="A299" s="1">
        <v>45727</v>
      </c>
      <c r="B299">
        <f>Returns!B704*Returns!C704</f>
        <v>-2.4937196860574668E-4</v>
      </c>
    </row>
    <row r="300" spans="1:2">
      <c r="A300" s="1">
        <v>45728</v>
      </c>
      <c r="B300">
        <f>Returns!B705*Returns!C705</f>
        <v>-4.9216706315058454E-4</v>
      </c>
    </row>
    <row r="301" spans="1:2">
      <c r="A301" s="1">
        <v>45729</v>
      </c>
      <c r="B301">
        <f>Returns!B706*Returns!C706</f>
        <v>-1.665433004101882E-5</v>
      </c>
    </row>
    <row r="302" spans="1:2">
      <c r="A302" s="1">
        <v>45730</v>
      </c>
      <c r="B302">
        <f>Returns!B707*Returns!C707</f>
        <v>3.2873425684859717E-6</v>
      </c>
    </row>
    <row r="303" spans="1:2">
      <c r="A303" s="1">
        <v>45733</v>
      </c>
      <c r="B303">
        <f>Returns!B708*Returns!C708</f>
        <v>3.2816742985646207E-6</v>
      </c>
    </row>
    <row r="304" spans="1:2">
      <c r="A304" s="1">
        <v>45734</v>
      </c>
      <c r="B304">
        <f>Returns!B709*Returns!C709</f>
        <v>1.916458675430116E-5</v>
      </c>
    </row>
    <row r="305" spans="1:2">
      <c r="A305" s="1">
        <v>45735</v>
      </c>
      <c r="B305">
        <f>Returns!B710*Returns!C710</f>
        <v>-1.3367229420800094E-4</v>
      </c>
    </row>
    <row r="306" spans="1:2">
      <c r="A306" s="1">
        <v>45736</v>
      </c>
      <c r="B306">
        <f>Returns!B711*Returns!C711</f>
        <v>6.9165746816643838E-6</v>
      </c>
    </row>
    <row r="307" spans="1:2">
      <c r="A307" s="1">
        <v>45737</v>
      </c>
      <c r="B307">
        <f>Returns!B712*Returns!C712</f>
        <v>-4.7142690530553138E-4</v>
      </c>
    </row>
    <row r="308" spans="1:2">
      <c r="A308" s="1">
        <v>45740</v>
      </c>
      <c r="B308">
        <f>Returns!B713*Returns!C713</f>
        <v>5.5825974406013798E-5</v>
      </c>
    </row>
    <row r="309" spans="1:2">
      <c r="A309" s="1">
        <v>45741</v>
      </c>
      <c r="B309">
        <f>Returns!B714*Returns!C714</f>
        <v>-2.3759302829626566E-5</v>
      </c>
    </row>
    <row r="310" spans="1:2">
      <c r="A310" s="1">
        <v>45742</v>
      </c>
      <c r="B310">
        <f>Returns!B715*Returns!C715</f>
        <v>-3.7775270114664478E-4</v>
      </c>
    </row>
    <row r="311" spans="1:2">
      <c r="A311" s="1">
        <v>45743</v>
      </c>
      <c r="B311">
        <f>Returns!B716*Returns!C716</f>
        <v>3.0623861929930419E-5</v>
      </c>
    </row>
    <row r="312" spans="1:2">
      <c r="A312" s="1">
        <v>45744</v>
      </c>
      <c r="B312">
        <f>Returns!B717*Returns!C717</f>
        <v>1.8599755523785719E-4</v>
      </c>
    </row>
    <row r="313" spans="1:2">
      <c r="A313" s="1">
        <v>45747</v>
      </c>
      <c r="B313">
        <f>Returns!B718*Returns!C718</f>
        <v>-2.7474021625524363E-4</v>
      </c>
    </row>
    <row r="314" spans="1:2">
      <c r="A314" s="1">
        <v>45748</v>
      </c>
      <c r="B314">
        <f>Returns!B719*Returns!C719</f>
        <v>-4.1555684179527687E-5</v>
      </c>
    </row>
    <row r="315" spans="1:2">
      <c r="A315" s="1">
        <v>45749</v>
      </c>
      <c r="B315">
        <f>Returns!B720*Returns!C720</f>
        <v>-1.8600737139981628E-5</v>
      </c>
    </row>
    <row r="316" spans="1:2">
      <c r="A316" s="1">
        <v>45750</v>
      </c>
      <c r="B316">
        <f>Returns!B721*Returns!C721</f>
        <v>-2.6620527017172449E-3</v>
      </c>
    </row>
    <row r="317" spans="1:2">
      <c r="A317" s="1">
        <v>45751</v>
      </c>
      <c r="B317">
        <f>Returns!B722*Returns!C722</f>
        <v>4.2629807522300998E-3</v>
      </c>
    </row>
    <row r="318" spans="1:2">
      <c r="A318" s="1">
        <v>45754</v>
      </c>
      <c r="B318">
        <f>Returns!B723*Returns!C723</f>
        <v>-3.7922851118796295E-4</v>
      </c>
    </row>
    <row r="319" spans="1:2">
      <c r="A319" s="1">
        <v>45755</v>
      </c>
      <c r="B319">
        <f>Returns!B724*Returns!C724</f>
        <v>8.3198250799789619E-7</v>
      </c>
    </row>
    <row r="320" spans="1:2">
      <c r="A320" s="1">
        <v>45756</v>
      </c>
      <c r="B320">
        <f>Returns!B725*Returns!C725</f>
        <v>3.3590015566879062E-3</v>
      </c>
    </row>
    <row r="321" spans="1:2">
      <c r="A321" s="1">
        <v>45757</v>
      </c>
      <c r="B321">
        <f>Returns!B726*Returns!C726</f>
        <v>-3.6473288375623599E-4</v>
      </c>
    </row>
    <row r="322" spans="1:2">
      <c r="A322" s="1">
        <v>45758</v>
      </c>
      <c r="B322">
        <f>Returns!B727*Returns!C727</f>
        <v>7.59940964328699E-5</v>
      </c>
    </row>
    <row r="323" spans="1:2">
      <c r="A323" s="1">
        <v>45761</v>
      </c>
      <c r="B323">
        <f>Returns!B728*Returns!C728</f>
        <v>2.141441874878935E-4</v>
      </c>
    </row>
    <row r="324" spans="1:2">
      <c r="A324" s="1">
        <v>45762</v>
      </c>
      <c r="B324">
        <f>Returns!B729*Returns!C729</f>
        <v>2.0436672673522803E-4</v>
      </c>
    </row>
    <row r="325" spans="1:2">
      <c r="A325" s="1">
        <v>45763</v>
      </c>
      <c r="B325">
        <f>Returns!B730*Returns!C730</f>
        <v>-1.8430994189164121E-5</v>
      </c>
    </row>
    <row r="326" spans="1:2">
      <c r="A326" s="1">
        <v>45764</v>
      </c>
      <c r="B326">
        <f>Returns!B731*Returns!C731</f>
        <v>6.2122409630177295E-4</v>
      </c>
    </row>
    <row r="327" spans="1:2">
      <c r="A327" s="1">
        <v>45768</v>
      </c>
      <c r="B327">
        <f>Returns!B732*Returns!C732</f>
        <v>5.7940994631696257E-5</v>
      </c>
    </row>
    <row r="328" spans="1:2">
      <c r="A328" s="1">
        <v>45769</v>
      </c>
      <c r="B328">
        <f>Returns!B733*Returns!C733</f>
        <v>2.9963768913927267E-4</v>
      </c>
    </row>
    <row r="329" spans="1:2">
      <c r="A329" s="1">
        <v>45770</v>
      </c>
      <c r="B329">
        <f>Returns!B734*Returns!C734</f>
        <v>-5.2316869215862161E-4</v>
      </c>
    </row>
    <row r="330" spans="1:2">
      <c r="A330" s="1">
        <v>45771</v>
      </c>
      <c r="B330">
        <f>Returns!B735*Returns!C735</f>
        <v>-2.5171118934820086E-4</v>
      </c>
    </row>
    <row r="331" spans="1:2">
      <c r="A331" s="1">
        <v>45772</v>
      </c>
      <c r="B331">
        <f>Returns!B736*Returns!C736</f>
        <v>-8.5553611163346276E-5</v>
      </c>
    </row>
    <row r="332" spans="1:2">
      <c r="A332" s="1">
        <v>45775</v>
      </c>
      <c r="B332">
        <f>Returns!B737*Returns!C737</f>
        <v>-5.3335176611030471E-5</v>
      </c>
    </row>
    <row r="333" spans="1:2">
      <c r="A333" s="1">
        <v>45776</v>
      </c>
      <c r="B333">
        <f>Returns!B738*Returns!C738</f>
        <v>-1.2005090073150735E-5</v>
      </c>
    </row>
    <row r="334" spans="1:2">
      <c r="A334" s="1">
        <v>45777</v>
      </c>
      <c r="B334">
        <f>Returns!B739*Returns!C739</f>
        <v>1.5334042758466851E-5</v>
      </c>
    </row>
    <row r="335" spans="1:2">
      <c r="A335" s="1">
        <v>45778</v>
      </c>
      <c r="B335">
        <f>Returns!B740*Returns!C740</f>
        <v>3.4185107629131016E-5</v>
      </c>
    </row>
    <row r="336" spans="1:2">
      <c r="A336" s="1">
        <v>45779</v>
      </c>
      <c r="B336">
        <f>Returns!B741*Returns!C741</f>
        <v>6.3741529815709004E-5</v>
      </c>
    </row>
    <row r="337" spans="1:2">
      <c r="A337" s="1">
        <v>45782</v>
      </c>
      <c r="B337">
        <f>Returns!B742*Returns!C742</f>
        <v>9.9505989819850621E-7</v>
      </c>
    </row>
    <row r="338" spans="1:2">
      <c r="A338" s="1">
        <v>45783</v>
      </c>
      <c r="B338">
        <f>Returns!B743*Returns!C743</f>
        <v>6.2856281121110199E-7</v>
      </c>
    </row>
    <row r="339" spans="1:2">
      <c r="A339" s="1">
        <v>45784</v>
      </c>
      <c r="B339">
        <f>Returns!B744*Returns!C744</f>
        <v>-1.9306743530222015E-5</v>
      </c>
    </row>
    <row r="340" spans="1:2">
      <c r="A340" s="1">
        <v>45785</v>
      </c>
      <c r="B340">
        <f>Returns!B745*Returns!C745</f>
        <v>-5.791002695518416E-4</v>
      </c>
    </row>
    <row r="341" spans="1:2">
      <c r="A341" s="1">
        <v>45786</v>
      </c>
      <c r="B341">
        <f>Returns!B746*Returns!C746</f>
        <v>-1.584894796495159E-4</v>
      </c>
    </row>
    <row r="342" spans="1:2">
      <c r="A342" s="1">
        <v>45789</v>
      </c>
      <c r="B342">
        <f>Returns!B747*Returns!C747</f>
        <v>-2.7480277997753323E-4</v>
      </c>
    </row>
    <row r="343" spans="1:2">
      <c r="A343" s="1">
        <v>45790</v>
      </c>
      <c r="B343">
        <f>Returns!B748*Returns!C748</f>
        <v>-2.1454908313279846E-4</v>
      </c>
    </row>
    <row r="344" spans="1:2">
      <c r="A344" s="1">
        <v>45791</v>
      </c>
      <c r="B344">
        <f>Returns!B749*Returns!C749</f>
        <v>1.5251174544637048E-5</v>
      </c>
    </row>
    <row r="345" spans="1:2">
      <c r="A345" s="1">
        <v>45792</v>
      </c>
      <c r="B345">
        <f>Returns!B750*Returns!C750</f>
        <v>2.5915195531567124E-4</v>
      </c>
    </row>
    <row r="346" spans="1:2">
      <c r="A346" s="1">
        <v>45793</v>
      </c>
      <c r="B346">
        <f>Returns!B751*Returns!C751</f>
        <v>-1.0054418466316434E-5</v>
      </c>
    </row>
    <row r="347" spans="1:2">
      <c r="A347" s="1">
        <v>45796</v>
      </c>
      <c r="B347">
        <f>Returns!B752*Returns!C752</f>
        <v>4.1163278162085446E-6</v>
      </c>
    </row>
    <row r="348" spans="1:2">
      <c r="A348" s="1">
        <v>45797</v>
      </c>
      <c r="B348">
        <f>Returns!B753*Returns!C753</f>
        <v>-4.5383687713805949E-5</v>
      </c>
    </row>
    <row r="349" spans="1:2">
      <c r="A349" s="1">
        <v>45798</v>
      </c>
      <c r="B349">
        <f>Returns!B754*Returns!C754</f>
        <v>-3.6911940917338617E-5</v>
      </c>
    </row>
    <row r="350" spans="1:2">
      <c r="A350" s="1">
        <v>45799</v>
      </c>
      <c r="B350">
        <f>Returns!B755*Returns!C755</f>
        <v>-1.0212194725733656E-5</v>
      </c>
    </row>
    <row r="351" spans="1:2">
      <c r="A351" s="1">
        <v>45800</v>
      </c>
      <c r="B351">
        <f>Returns!B756*Returns!C756</f>
        <v>-4.3078916387900679E-5</v>
      </c>
    </row>
    <row r="352" spans="1:2">
      <c r="A352" s="1">
        <v>45804</v>
      </c>
      <c r="B352">
        <f>Returns!B757*Returns!C757</f>
        <v>2.4574801070662072E-6</v>
      </c>
    </row>
    <row r="353" spans="1:2">
      <c r="A353" s="1">
        <v>45805</v>
      </c>
      <c r="B353">
        <f>Returns!B758*Returns!C758</f>
        <v>-2.1703256796432441E-5</v>
      </c>
    </row>
    <row r="354" spans="1:2">
      <c r="A354" s="1">
        <v>45806</v>
      </c>
      <c r="B354">
        <f>Returns!B759*Returns!C759</f>
        <v>1.4139437983187351E-4</v>
      </c>
    </row>
    <row r="355" spans="1:2">
      <c r="A355" s="1">
        <v>45807</v>
      </c>
      <c r="B355">
        <f>Returns!B760*Returns!C760</f>
        <v>-3.3142552683287864E-5</v>
      </c>
    </row>
    <row r="356" spans="1:2">
      <c r="A356" s="1">
        <v>45810</v>
      </c>
      <c r="B356">
        <f>Returns!B761*Returns!C761</f>
        <v>-3.8033488246669582E-5</v>
      </c>
    </row>
    <row r="357" spans="1:2">
      <c r="A357" s="1">
        <v>45811</v>
      </c>
      <c r="B357">
        <f>Returns!B762*Returns!C762</f>
        <v>-1.1286536317435041E-4</v>
      </c>
    </row>
    <row r="358" spans="1:2">
      <c r="A358" s="1">
        <v>45812</v>
      </c>
      <c r="B358">
        <f>Returns!B763*Returns!C763</f>
        <v>-1.6566268547529886E-5</v>
      </c>
    </row>
    <row r="359" spans="1:2">
      <c r="A359" s="1">
        <v>45813</v>
      </c>
      <c r="B359">
        <f>Returns!B764*Returns!C764</f>
        <v>9.7176624490740958E-5</v>
      </c>
    </row>
    <row r="360" spans="1:2">
      <c r="A360" s="1">
        <v>45814</v>
      </c>
      <c r="B360">
        <f>Returns!B765*Returns!C765</f>
        <v>4.8460858922724483E-5</v>
      </c>
    </row>
    <row r="361" spans="1:2">
      <c r="A361" s="1">
        <v>45817</v>
      </c>
      <c r="B361">
        <f>Returns!B766*Returns!C766</f>
        <v>1.710257262139162E-4</v>
      </c>
    </row>
    <row r="362" spans="1:2">
      <c r="A362" s="1">
        <v>45818</v>
      </c>
      <c r="B362">
        <f>Returns!B767*Returns!C767</f>
        <v>-6.1947647996979095E-5</v>
      </c>
    </row>
    <row r="363" spans="1:2">
      <c r="A363" s="1">
        <v>45819</v>
      </c>
      <c r="B363">
        <f>Returns!B768*Returns!C768</f>
        <v>3.5158297018640522E-5</v>
      </c>
    </row>
    <row r="364" spans="1:2">
      <c r="A364" s="1">
        <v>45820</v>
      </c>
      <c r="B364">
        <f>Returns!B769*Returns!C769</f>
        <v>-8.8403680497430378E-5</v>
      </c>
    </row>
    <row r="365" spans="1:2">
      <c r="A365" s="1">
        <v>45821</v>
      </c>
      <c r="B365">
        <f>Returns!B770*Returns!C770</f>
        <v>1.7528743301146001E-4</v>
      </c>
    </row>
    <row r="366" spans="1:2">
      <c r="A366" s="1">
        <v>45824</v>
      </c>
      <c r="B366">
        <f>Returns!B771*Returns!C771</f>
        <v>-5.2021957472743745E-5</v>
      </c>
    </row>
    <row r="367" spans="1:2">
      <c r="A367" s="1">
        <v>45825</v>
      </c>
      <c r="B367">
        <f>Returns!B772*Returns!C772</f>
        <v>9.4801183636249967E-5</v>
      </c>
    </row>
    <row r="368" spans="1:2">
      <c r="A368" s="1">
        <v>45826</v>
      </c>
      <c r="B368">
        <f>Returns!B773*Returns!C773</f>
        <v>8.249458474137064E-5</v>
      </c>
    </row>
    <row r="369" spans="1:2">
      <c r="A369" s="1">
        <v>45828</v>
      </c>
      <c r="B369">
        <f>Returns!B774*Returns!C774</f>
        <v>-3.1704956008974025E-5</v>
      </c>
    </row>
    <row r="370" spans="1:2">
      <c r="A370" s="1">
        <v>45831</v>
      </c>
      <c r="B370">
        <f>Returns!B775*Returns!C775</f>
        <v>1.6176480884383209E-4</v>
      </c>
    </row>
    <row r="371" spans="1:2">
      <c r="A371" s="1">
        <v>45832</v>
      </c>
      <c r="B371">
        <f>Returns!B776*Returns!C776</f>
        <v>-1.1454228577472978E-5</v>
      </c>
    </row>
    <row r="372" spans="1:2">
      <c r="A372" s="1">
        <v>45833</v>
      </c>
      <c r="B372">
        <f>Returns!B777*Returns!C777</f>
        <v>8.9093553179468739E-5</v>
      </c>
    </row>
    <row r="373" spans="1:2">
      <c r="A373" s="1">
        <v>45834</v>
      </c>
      <c r="B373">
        <f>Returns!B778*Returns!C778</f>
        <v>-5.2003605018348704E-5</v>
      </c>
    </row>
    <row r="374" spans="1:2">
      <c r="A374" s="1">
        <v>45835</v>
      </c>
      <c r="B374">
        <f>Returns!B779*Returns!C779</f>
        <v>7.0112972808757817E-4</v>
      </c>
    </row>
    <row r="375" spans="1:2">
      <c r="A375" s="1">
        <v>45838</v>
      </c>
      <c r="B375">
        <f>Returns!B780*Returns!C780</f>
        <v>-1.2772957488127606E-4</v>
      </c>
    </row>
    <row r="376" spans="1:2">
      <c r="A376" s="1">
        <v>45839</v>
      </c>
      <c r="B376">
        <f>Returns!B781*Returns!C781</f>
        <v>1.5476532355702841E-5</v>
      </c>
    </row>
    <row r="377" spans="1:2">
      <c r="A377" s="1">
        <v>45840</v>
      </c>
      <c r="B377">
        <f>Returns!B782*Returns!C782</f>
        <v>-1.1868369909303929E-4</v>
      </c>
    </row>
    <row r="378" spans="1:2">
      <c r="A378" s="1">
        <v>45841</v>
      </c>
      <c r="B378">
        <f>Returns!B783*Returns!C783</f>
        <v>1.0441393456285352E-4</v>
      </c>
    </row>
    <row r="379" spans="1:2">
      <c r="A379" s="1">
        <v>45845</v>
      </c>
      <c r="B379">
        <f>Returns!B784*Returns!C784</f>
        <v>-6.6239606444179339E-5</v>
      </c>
    </row>
    <row r="380" spans="1:2">
      <c r="A380" s="1">
        <v>45846</v>
      </c>
      <c r="B380">
        <f>Returns!B785*Returns!C785</f>
        <v>5.7340380910065889E-6</v>
      </c>
    </row>
    <row r="381" spans="1:2">
      <c r="A381" s="1">
        <v>45847</v>
      </c>
      <c r="B381">
        <f>Returns!B786*Returns!C786</f>
        <v>-4.190354276669065E-4</v>
      </c>
    </row>
    <row r="382" spans="1:2">
      <c r="A382" s="1">
        <v>45848</v>
      </c>
      <c r="B382">
        <f>Returns!B787*Returns!C787</f>
        <v>-8.2453158947591964E-6</v>
      </c>
    </row>
    <row r="383" spans="1:2">
      <c r="A383" s="1">
        <v>45849</v>
      </c>
      <c r="B383">
        <f>Returns!B788*Returns!C788</f>
        <v>3.0508285271858444E-6</v>
      </c>
    </row>
    <row r="384" spans="1:2">
      <c r="A384" s="1">
        <v>45852</v>
      </c>
      <c r="B384">
        <f>Returns!B789*Returns!C789</f>
        <v>-1.0091453714330118E-4</v>
      </c>
    </row>
    <row r="385" spans="1:4">
      <c r="A385" s="1">
        <v>45853</v>
      </c>
      <c r="B385">
        <f>Returns!B790*Returns!C790</f>
        <v>4.6423943138580857E-6</v>
      </c>
    </row>
    <row r="386" spans="1:4">
      <c r="A386" s="1">
        <v>45854</v>
      </c>
      <c r="B386">
        <f>Returns!B791*Returns!C791</f>
        <v>7.9055907940916234E-7</v>
      </c>
    </row>
    <row r="387" spans="1:4">
      <c r="A387" s="1">
        <v>45855</v>
      </c>
      <c r="B387">
        <f>Returns!B792*Returns!C792</f>
        <v>8.8688700260306273E-5</v>
      </c>
    </row>
    <row r="388" spans="1:4">
      <c r="A388" s="1">
        <v>45856</v>
      </c>
      <c r="B388">
        <f>Returns!B793*Returns!C793</f>
        <v>7.9040150061646122E-5</v>
      </c>
    </row>
    <row r="389" spans="1:4">
      <c r="A389" s="1">
        <v>45859</v>
      </c>
      <c r="B389">
        <f>Returns!B794*Returns!C794</f>
        <v>-2.3443647761712195E-7</v>
      </c>
    </row>
    <row r="390" spans="1:4">
      <c r="A390" s="1">
        <v>45860</v>
      </c>
      <c r="B390">
        <f>Returns!B795*Returns!C795</f>
        <v>2.3324479736947852E-5</v>
      </c>
    </row>
    <row r="391" spans="1:4">
      <c r="A391" s="1">
        <v>45861</v>
      </c>
      <c r="B391">
        <f>Returns!B796*Returns!C796</f>
        <v>-1.8175736894531362E-4</v>
      </c>
    </row>
    <row r="392" spans="1:4">
      <c r="A392" s="1">
        <v>45862</v>
      </c>
      <c r="B392">
        <f>Returns!B797*Returns!C797</f>
        <v>1.5411853111606988E-5</v>
      </c>
    </row>
    <row r="393" spans="1:4">
      <c r="A393" s="1">
        <v>45863</v>
      </c>
      <c r="B393">
        <f>Returns!B798*Returns!C798</f>
        <v>3.8676726885579595E-6</v>
      </c>
    </row>
    <row r="394" spans="1:4">
      <c r="A394" s="1">
        <v>45866</v>
      </c>
      <c r="B394">
        <f>Returns!B799*Returns!C799</f>
        <v>-2.317801614409252E-4</v>
      </c>
    </row>
    <row r="395" spans="1:4">
      <c r="A395" s="1">
        <v>45867</v>
      </c>
      <c r="B395">
        <f>Returns!B800*Returns!C800</f>
        <v>-8.0543840143135377E-4</v>
      </c>
    </row>
    <row r="396" spans="1:4">
      <c r="A396" s="1">
        <v>45868</v>
      </c>
      <c r="B396">
        <f>Returns!B801*Returns!C801</f>
        <v>1.0201420236423113E-5</v>
      </c>
    </row>
    <row r="398" spans="1:4">
      <c r="A398" t="s">
        <v>13</v>
      </c>
      <c r="B398" s="2">
        <f>SUM(B3:B396)/(COUNT(B3:B396)-1)</f>
        <v>9.0664729623141691E-6</v>
      </c>
      <c r="C398" s="2">
        <f>_xlfn.COVARIANCE.S(Returns!B408:B801,Returns!C408:C801)</f>
        <v>9.0664729623141691E-6</v>
      </c>
      <c r="D398" s="2">
        <f>_xlfn.COVARIANCE.S(Returns!B3:B396,Returns!C3:C396)</f>
        <v>9.0664729623141691E-6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7E39F-8D54-4A40-9B8A-4094CD04963A}">
  <sheetPr codeName="Tabelle4"/>
  <dimension ref="A1:K36"/>
  <sheetViews>
    <sheetView zoomScaleNormal="100" workbookViewId="0">
      <selection activeCell="C3" sqref="C3"/>
    </sheetView>
  </sheetViews>
  <sheetFormatPr baseColWidth="10" defaultRowHeight="15"/>
  <cols>
    <col min="2" max="2" width="11.5703125" bestFit="1" customWidth="1"/>
    <col min="3" max="5" width="12.28515625" bestFit="1" customWidth="1"/>
    <col min="6" max="6" width="11.5703125" bestFit="1" customWidth="1"/>
    <col min="7" max="7" width="12.5703125" bestFit="1" customWidth="1"/>
    <col min="8" max="8" width="12.28515625" bestFit="1" customWidth="1"/>
    <col min="9" max="9" width="11.5703125" bestFit="1" customWidth="1"/>
    <col min="10" max="10" width="12.5703125" bestFit="1" customWidth="1"/>
    <col min="11" max="11" width="12.28515625" bestFit="1" customWidth="1"/>
  </cols>
  <sheetData>
    <row r="1" spans="1:11"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t="s">
        <v>1</v>
      </c>
      <c r="B2" s="2">
        <f>_xlfn.COVARIANCE.S(Returns!B2:B396,Returns!B2:B396)</f>
        <v>5.5563125347773089E-4</v>
      </c>
      <c r="C2" s="2">
        <f>_xlfn.COVARIANCE.S(Returns!$B3:$B396,Returns!C3:C396)</f>
        <v>9.0664729623141691E-6</v>
      </c>
      <c r="D2" s="2">
        <f>_xlfn.COVARIANCE.S(Returns!$B3:$B396,Returns!D3:D396)</f>
        <v>9.369653644646435E-5</v>
      </c>
      <c r="E2" s="2">
        <f>_xlfn.COVARIANCE.S(Returns!$B3:$B396,Returns!E3:E396)</f>
        <v>1.1778836776852056E-4</v>
      </c>
      <c r="F2" s="2">
        <f>_xlfn.COVARIANCE.S(Returns!$B3:$B396,Returns!F3:F396)</f>
        <v>1.7900637341182877E-4</v>
      </c>
      <c r="G2" s="2">
        <f>_xlfn.COVARIANCE.S(Returns!$B3:$B396,Returns!G3:G396)</f>
        <v>2.0134891036934543E-4</v>
      </c>
      <c r="H2" s="2">
        <f>_xlfn.COVARIANCE.S(Returns!$B3:$B396,Returns!H3:H396)</f>
        <v>3.0648374767744874E-6</v>
      </c>
      <c r="I2" s="2">
        <f>_xlfn.COVARIANCE.S(Returns!$B3:$B396,Returns!I3:I396)</f>
        <v>1.6368826481641255E-4</v>
      </c>
      <c r="J2" s="2">
        <f>_xlfn.COVARIANCE.S(Returns!$B3:$B396,Returns!J3:J396)</f>
        <v>3.6963930000598458E-4</v>
      </c>
      <c r="K2" s="2">
        <f>_xlfn.COVARIANCE.S(Returns!$B3:$B396,Returns!K3:K396)</f>
        <v>5.2703442082806702E-5</v>
      </c>
    </row>
    <row r="3" spans="1:11">
      <c r="A3" t="s">
        <v>2</v>
      </c>
      <c r="B3" s="2">
        <f>_xlfn.COVARIANCE.S(Returns!C3:C396,Returns!B3:B396)</f>
        <v>9.0664729623141691E-6</v>
      </c>
      <c r="C3" s="2">
        <f>_xlfn.COVARIANCE.S(Returns!$C3:$C396,Returns!C3:C396)</f>
        <v>9.4292647661012356E-5</v>
      </c>
      <c r="D3" s="2">
        <f>_xlfn.COVARIANCE.S(Returns!$C3:$C396,Returns!D3:D396)</f>
        <v>-4.1623664705707874E-6</v>
      </c>
      <c r="E3" s="2">
        <f>_xlfn.COVARIANCE.S(Returns!$C3:$C396,Returns!E3:E396)</f>
        <v>-4.6256411068128408E-6</v>
      </c>
      <c r="F3" s="2">
        <f>_xlfn.COVARIANCE.S(Returns!$C3:$C396,Returns!F3:F396)</f>
        <v>3.5695407020904417E-5</v>
      </c>
      <c r="G3" s="2">
        <f>_xlfn.COVARIANCE.S(Returns!$C3:$C396,Returns!G3:G396)</f>
        <v>-7.940479593376398E-5</v>
      </c>
      <c r="H3" s="2">
        <f>_xlfn.COVARIANCE.S(Returns!$C3:$C396,Returns!H3:H396)</f>
        <v>7.3148952807180307E-5</v>
      </c>
      <c r="I3" s="2">
        <f>_xlfn.COVARIANCE.S(Returns!$C3:$C396,Returns!I3:I396)</f>
        <v>2.9623897439559706E-5</v>
      </c>
      <c r="J3" s="2">
        <f>_xlfn.COVARIANCE.S(Returns!$C3:$C396,Returns!J3:J396)</f>
        <v>-2.9229422199904602E-5</v>
      </c>
      <c r="K3" s="2">
        <f>_xlfn.COVARIANCE.S(Returns!$C3:$C396,Returns!K3:K396)</f>
        <v>3.7509642719809709E-5</v>
      </c>
    </row>
    <row r="4" spans="1:11">
      <c r="A4" t="s">
        <v>3</v>
      </c>
      <c r="B4" s="2">
        <f>_xlfn.COVARIANCE.S(Returns!D3:D396,Returns!B3:B396)</f>
        <v>9.369653644646435E-5</v>
      </c>
      <c r="C4" s="2">
        <f>_xlfn.COVARIANCE.S(Returns!$D3:$D396,Returns!C3:C396)</f>
        <v>-4.1623664705707874E-6</v>
      </c>
      <c r="D4" s="2">
        <f>_xlfn.COVARIANCE.S(Returns!$D3:$D396,Returns!D3:D396)</f>
        <v>2.1085223833628217E-4</v>
      </c>
      <c r="E4" s="2">
        <f>_xlfn.COVARIANCE.S(Returns!$D3:$D396,Returns!E3:E396)</f>
        <v>1.4151300499886711E-4</v>
      </c>
      <c r="F4" s="2">
        <f>_xlfn.COVARIANCE.S(Returns!$D3:$D396,Returns!F3:F396)</f>
        <v>7.9083544012753751E-5</v>
      </c>
      <c r="G4" s="2">
        <f>_xlfn.COVARIANCE.S(Returns!$D3:$D396,Returns!G3:G396)</f>
        <v>2.8357663899940256E-4</v>
      </c>
      <c r="H4" s="2">
        <f>_xlfn.COVARIANCE.S(Returns!$D3:$D396,Returns!H3:H396)</f>
        <v>-1.7852913127691505E-6</v>
      </c>
      <c r="I4" s="2">
        <f>_xlfn.COVARIANCE.S(Returns!$D3:$D396,Returns!I3:I396)</f>
        <v>8.2351109683987558E-5</v>
      </c>
      <c r="J4" s="2">
        <f>_xlfn.COVARIANCE.S(Returns!$D3:$D396,Returns!J3:J396)</f>
        <v>2.5551696704755283E-4</v>
      </c>
      <c r="K4" s="2">
        <f>_xlfn.COVARIANCE.S(Returns!$D3:$D396,Returns!K3:K396)</f>
        <v>1.9851097054194881E-5</v>
      </c>
    </row>
    <row r="5" spans="1:11">
      <c r="A5" t="s">
        <v>4</v>
      </c>
      <c r="B5" s="2">
        <f>_xlfn.COVARIANCE.S(Returns!E3:E396,Returns!B3:B396)</f>
        <v>1.1778836776852056E-4</v>
      </c>
      <c r="C5" s="2">
        <f>_xlfn.COVARIANCE.S(Returns!$E3:$E396,Returns!C3:C396)</f>
        <v>-4.6256411068128408E-6</v>
      </c>
      <c r="D5" s="2">
        <f>_xlfn.COVARIANCE.S(Returns!$E3:$E396,Returns!D3:D396)</f>
        <v>1.4151300499886711E-4</v>
      </c>
      <c r="E5" s="2">
        <f>_xlfn.COVARIANCE.S(Returns!$E3:$E396,Returns!E3:E396)</f>
        <v>4.0752032193444625E-4</v>
      </c>
      <c r="F5" s="2">
        <f>_xlfn.COVARIANCE.S(Returns!$E3:$E396,Returns!F3:F396)</f>
        <v>6.9030649116509575E-5</v>
      </c>
      <c r="G5" s="2">
        <f>_xlfn.COVARIANCE.S(Returns!$E3:$E396,Returns!G3:G396)</f>
        <v>3.2304605681626904E-4</v>
      </c>
      <c r="H5" s="2">
        <f>_xlfn.COVARIANCE.S(Returns!$E3:$E396,Returns!H3:H396)</f>
        <v>-1.9420469191435789E-5</v>
      </c>
      <c r="I5" s="2">
        <f>_xlfn.COVARIANCE.S(Returns!$E3:$E396,Returns!I3:I396)</f>
        <v>7.7706836507331954E-5</v>
      </c>
      <c r="J5" s="2">
        <f>_xlfn.COVARIANCE.S(Returns!$E3:$E396,Returns!J3:J396)</f>
        <v>2.5825458490696593E-4</v>
      </c>
      <c r="K5" s="2">
        <f>_xlfn.COVARIANCE.S(Returns!$E3:$E396,Returns!K3:K396)</f>
        <v>2.4170975936192466E-5</v>
      </c>
    </row>
    <row r="6" spans="1:11">
      <c r="A6" t="s">
        <v>5</v>
      </c>
      <c r="B6" s="2">
        <f>_xlfn.COVARIANCE.S(Returns!F3:F396,Returns!B3:B396)</f>
        <v>1.7900637341182877E-4</v>
      </c>
      <c r="C6" s="2">
        <f>_xlfn.COVARIANCE.S(Returns!$F3:$F396,Returns!C3:C396)</f>
        <v>3.5695407020904417E-5</v>
      </c>
      <c r="D6" s="2">
        <f>_xlfn.COVARIANCE.S(Returns!$F3:$F396,Returns!D3:D396)</f>
        <v>7.9083544012753751E-5</v>
      </c>
      <c r="E6" s="2">
        <f>_xlfn.COVARIANCE.S(Returns!$F3:$F396,Returns!E3:E396)</f>
        <v>6.9030649116509575E-5</v>
      </c>
      <c r="F6" s="2">
        <f>_xlfn.COVARIANCE.S(Returns!$F3:$F396,Returns!F3:F396)</f>
        <v>5.832373574480241E-4</v>
      </c>
      <c r="G6" s="2">
        <f>_xlfn.COVARIANCE.S(Returns!$F3:$F396,Returns!G3:G396)</f>
        <v>1.0929443395513634E-4</v>
      </c>
      <c r="H6" s="2">
        <f>_xlfn.COVARIANCE.S(Returns!$F3:$F396,Returns!H3:H396)</f>
        <v>6.8788719743324598E-5</v>
      </c>
      <c r="I6" s="2">
        <f>_xlfn.COVARIANCE.S(Returns!$F3:$F396,Returns!I3:I396)</f>
        <v>2.4214192025478576E-4</v>
      </c>
      <c r="J6" s="2">
        <f>_xlfn.COVARIANCE.S(Returns!$F3:$F396,Returns!J3:J396)</f>
        <v>2.1303702654591929E-4</v>
      </c>
      <c r="K6" s="2">
        <f>_xlfn.COVARIANCE.S(Returns!$F3:$F396,Returns!K3:K396)</f>
        <v>5.1450562992848722E-5</v>
      </c>
    </row>
    <row r="7" spans="1:11">
      <c r="A7" t="s">
        <v>6</v>
      </c>
      <c r="B7" s="2">
        <f>_xlfn.COVARIANCE.S(Returns!G3:G396,Returns!B3:B396)</f>
        <v>2.0134891036934543E-4</v>
      </c>
      <c r="C7" s="2">
        <f>_xlfn.COVARIANCE.S(Returns!$G3:$G396,Returns!C3:C396)</f>
        <v>-7.940479593376398E-5</v>
      </c>
      <c r="D7" s="2">
        <f>_xlfn.COVARIANCE.S(Returns!$G3:$G396,Returns!D3:D396)</f>
        <v>2.8357663899940256E-4</v>
      </c>
      <c r="E7" s="2">
        <f>_xlfn.COVARIANCE.S(Returns!$G3:$G396,Returns!E3:E396)</f>
        <v>3.2304605681626904E-4</v>
      </c>
      <c r="F7" s="2">
        <f>_xlfn.COVARIANCE.S(Returns!$G3:$G396,Returns!F3:F396)</f>
        <v>1.0929443395513634E-4</v>
      </c>
      <c r="G7" s="2">
        <f>_xlfn.COVARIANCE.S(Returns!$G3:$G396,Returns!G3:G396)</f>
        <v>1.1947931751551341E-3</v>
      </c>
      <c r="H7" s="2">
        <f>_xlfn.COVARIANCE.S(Returns!$G3:$G396,Returns!H3:H396)</f>
        <v>-7.9108247526034638E-5</v>
      </c>
      <c r="I7" s="2">
        <f>_xlfn.COVARIANCE.S(Returns!$G3:$G396,Returns!I3:I396)</f>
        <v>1.7794263665895811E-4</v>
      </c>
      <c r="J7" s="2">
        <f>_xlfn.COVARIANCE.S(Returns!$G3:$G396,Returns!J3:J396)</f>
        <v>5.4222506350327308E-4</v>
      </c>
      <c r="K7" s="2">
        <f>_xlfn.COVARIANCE.S(Returns!$G3:$G396,Returns!K3:K396)</f>
        <v>-1.5222128013063096E-5</v>
      </c>
    </row>
    <row r="8" spans="1:11">
      <c r="A8" t="s">
        <v>7</v>
      </c>
      <c r="B8" s="2">
        <f>_xlfn.COVARIANCE.S(Returns!H3:H396,Returns!B3:B396)</f>
        <v>3.0648374767744874E-6</v>
      </c>
      <c r="C8" s="2">
        <f>_xlfn.COVARIANCE.S(Returns!$H3:$H396,Returns!C3:C396)</f>
        <v>7.3148952807180307E-5</v>
      </c>
      <c r="D8" s="2">
        <f>_xlfn.COVARIANCE.S(Returns!$H3:$H396,Returns!D3:D396)</f>
        <v>-1.7852913127691505E-6</v>
      </c>
      <c r="E8" s="2">
        <f>_xlfn.COVARIANCE.S(Returns!$H3:$H396,Returns!E3:E396)</f>
        <v>-1.9420469191435789E-5</v>
      </c>
      <c r="F8" s="2">
        <f>_xlfn.COVARIANCE.S(Returns!$H3:$H396,Returns!F3:F396)</f>
        <v>6.8788719743324598E-5</v>
      </c>
      <c r="G8" s="2">
        <f>_xlfn.COVARIANCE.S(Returns!$H3:$H396,Returns!G3:G396)</f>
        <v>-7.9108247526034638E-5</v>
      </c>
      <c r="H8" s="2">
        <f>_xlfn.COVARIANCE.S(Returns!$H3:$H396,Returns!H3:H396)</f>
        <v>1.5641741183986763E-4</v>
      </c>
      <c r="I8" s="2">
        <f>_xlfn.COVARIANCE.S(Returns!$H3:$H396,Returns!I3:I396)</f>
        <v>5.2779923248738783E-5</v>
      </c>
      <c r="J8" s="2">
        <f>_xlfn.COVARIANCE.S(Returns!$H3:$H396,Returns!J3:J396)</f>
        <v>3.6702712845309824E-6</v>
      </c>
      <c r="K8" s="2">
        <f>_xlfn.COVARIANCE.S(Returns!$H3:$H396,Returns!K3:K396)</f>
        <v>5.7175284651381758E-5</v>
      </c>
    </row>
    <row r="9" spans="1:11">
      <c r="A9" t="s">
        <v>8</v>
      </c>
      <c r="B9" s="2">
        <f>_xlfn.COVARIANCE.S(Returns!I3:I396,Returns!B3:B396)</f>
        <v>1.6368826481641255E-4</v>
      </c>
      <c r="C9" s="2">
        <f>_xlfn.COVARIANCE.S(Returns!$I3:$I396,Returns!C3:C396)</f>
        <v>2.9623897439559706E-5</v>
      </c>
      <c r="D9" s="2">
        <f>_xlfn.COVARIANCE.S(Returns!$I3:$I396,Returns!D3:D396)</f>
        <v>8.2351109683987558E-5</v>
      </c>
      <c r="E9" s="2">
        <f>_xlfn.COVARIANCE.S(Returns!$I3:$I396,Returns!E3:E396)</f>
        <v>7.7706836507331954E-5</v>
      </c>
      <c r="F9" s="2">
        <f>_xlfn.COVARIANCE.S(Returns!$I3:$I396,Returns!F3:F396)</f>
        <v>2.4214192025478576E-4</v>
      </c>
      <c r="G9" s="2">
        <f>_xlfn.COVARIANCE.S(Returns!$I3:$I396,Returns!G3:G396)</f>
        <v>1.7794263665895811E-4</v>
      </c>
      <c r="H9" s="2">
        <f>_xlfn.COVARIANCE.S(Returns!$I3:$I396,Returns!H3:H396)</f>
        <v>5.2779923248738783E-5</v>
      </c>
      <c r="I9" s="2">
        <f>_xlfn.COVARIANCE.S(Returns!$I3:$I396,Returns!I3:I396)</f>
        <v>5.5923636291342225E-4</v>
      </c>
      <c r="J9" s="2">
        <f>_xlfn.COVARIANCE.S(Returns!$I3:$I396,Returns!J3:J396)</f>
        <v>2.5675354456833636E-4</v>
      </c>
      <c r="K9" s="2">
        <f>_xlfn.COVARIANCE.S(Returns!$I3:$I396,Returns!K3:K396)</f>
        <v>4.215340461159919E-5</v>
      </c>
    </row>
    <row r="10" spans="1:11">
      <c r="A10" t="s">
        <v>9</v>
      </c>
      <c r="B10" s="2">
        <f>_xlfn.COVARIANCE.S(Returns!J3:J396,Returns!B3:B396)</f>
        <v>3.6963930000598458E-4</v>
      </c>
      <c r="C10" s="2">
        <f>_xlfn.COVARIANCE.S(Returns!$J3:$J396,Returns!C3:C396)</f>
        <v>-2.9229422199904602E-5</v>
      </c>
      <c r="D10" s="2">
        <f>_xlfn.COVARIANCE.S(Returns!$J3:$J396,Returns!D3:D396)</f>
        <v>2.5551696704755283E-4</v>
      </c>
      <c r="E10" s="2">
        <f>_xlfn.COVARIANCE.S(Returns!$J3:$J396,Returns!E3:E396)</f>
        <v>2.5825458490696593E-4</v>
      </c>
      <c r="F10" s="2">
        <f>_xlfn.COVARIANCE.S(Returns!$J3:$J396,Returns!F3:F396)</f>
        <v>2.1303702654591929E-4</v>
      </c>
      <c r="G10" s="2">
        <f>_xlfn.COVARIANCE.S(Returns!$J3:$J396,Returns!G3:G396)</f>
        <v>5.4222506350327308E-4</v>
      </c>
      <c r="H10" s="2">
        <f>_xlfn.COVARIANCE.S(Returns!$J3:$J396,Returns!H3:H396)</f>
        <v>3.6702712845309824E-6</v>
      </c>
      <c r="I10" s="2">
        <f>_xlfn.COVARIANCE.S(Returns!$J3:$J396,Returns!I3:I396)</f>
        <v>2.5675354456833636E-4</v>
      </c>
      <c r="J10" s="2">
        <f>_xlfn.COVARIANCE.S(Returns!$J3:$J396,Returns!J3:J396)</f>
        <v>1.8157452528163225E-3</v>
      </c>
      <c r="K10" s="2">
        <f>_xlfn.COVARIANCE.S(Returns!$J3:$J396,Returns!K3:K396)</f>
        <v>4.6637517899397414E-5</v>
      </c>
    </row>
    <row r="11" spans="1:11">
      <c r="A11" t="s">
        <v>10</v>
      </c>
      <c r="B11" s="2">
        <f>_xlfn.COVARIANCE.S(Returns!K3:K396,Returns!B3:B396)</f>
        <v>5.2703442082806702E-5</v>
      </c>
      <c r="C11" s="2">
        <f>_xlfn.COVARIANCE.S(Returns!$K3:$K396,Returns!C3:C396)</f>
        <v>3.7509642719809709E-5</v>
      </c>
      <c r="D11" s="2">
        <f>_xlfn.COVARIANCE.S(Returns!$K3:$K396,Returns!D3:D396)</f>
        <v>1.9851097054194881E-5</v>
      </c>
      <c r="E11" s="2">
        <f>_xlfn.COVARIANCE.S(Returns!$K3:$K396,Returns!E3:E396)</f>
        <v>2.4170975936192466E-5</v>
      </c>
      <c r="F11" s="2">
        <f>_xlfn.COVARIANCE.S(Returns!$K3:$K396,Returns!F3:F396)</f>
        <v>5.1450562992848722E-5</v>
      </c>
      <c r="G11" s="2">
        <f>_xlfn.COVARIANCE.S(Returns!$K3:$K396,Returns!G3:G396)</f>
        <v>-1.5222128013063096E-5</v>
      </c>
      <c r="H11" s="2">
        <f>_xlfn.COVARIANCE.S(Returns!$K3:$K396,Returns!H3:H396)</f>
        <v>5.7175284651381758E-5</v>
      </c>
      <c r="I11" s="2">
        <f>_xlfn.COVARIANCE.S(Returns!$K3:$K396,Returns!I3:I396)</f>
        <v>4.215340461159919E-5</v>
      </c>
      <c r="J11" s="2">
        <f>_xlfn.COVARIANCE.S(Returns!$K3:$K396,Returns!J3:J396)</f>
        <v>4.6637517899397414E-5</v>
      </c>
      <c r="K11" s="2">
        <f>_xlfn.COVARIANCE.S(Returns!$K3:$K396,Returns!K3:K396)</f>
        <v>1.4982735123486723E-4</v>
      </c>
    </row>
    <row r="14" spans="1:11">
      <c r="A14" s="7" t="s">
        <v>30</v>
      </c>
      <c r="B14" s="7" t="s">
        <v>1</v>
      </c>
      <c r="C14" s="7" t="s">
        <v>2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</row>
    <row r="15" spans="1:11">
      <c r="A15" s="7" t="s">
        <v>30</v>
      </c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A16" s="7" t="s">
        <v>1</v>
      </c>
      <c r="B16" s="8">
        <v>5.5599999999999996E-4</v>
      </c>
      <c r="C16" s="8">
        <v>9.0000000000000002E-6</v>
      </c>
      <c r="D16" s="8">
        <v>9.3999999999999994E-5</v>
      </c>
      <c r="E16" s="8">
        <v>1.18E-4</v>
      </c>
      <c r="F16" s="8">
        <v>1.7899999999999999E-4</v>
      </c>
      <c r="G16" s="8">
        <v>2.0100000000000001E-4</v>
      </c>
      <c r="H16" s="8">
        <v>3.0000000000000001E-6</v>
      </c>
      <c r="I16" s="8">
        <v>1.64E-4</v>
      </c>
      <c r="J16" s="8">
        <v>3.6999999999999999E-4</v>
      </c>
      <c r="K16" s="8">
        <v>5.3000000000000001E-5</v>
      </c>
    </row>
    <row r="17" spans="1:11">
      <c r="A17" s="7" t="s">
        <v>2</v>
      </c>
      <c r="B17" s="8">
        <v>9.0000000000000002E-6</v>
      </c>
      <c r="C17" s="8">
        <v>9.3999999999999994E-5</v>
      </c>
      <c r="D17" s="8">
        <v>-3.9999999999999998E-6</v>
      </c>
      <c r="E17" s="8">
        <v>-5.0000000000000004E-6</v>
      </c>
      <c r="F17" s="8">
        <v>3.6000000000000001E-5</v>
      </c>
      <c r="G17" s="8">
        <v>-7.8999999999999996E-5</v>
      </c>
      <c r="H17" s="8">
        <v>7.2999999999999999E-5</v>
      </c>
      <c r="I17" s="8">
        <v>3.0000000000000001E-5</v>
      </c>
      <c r="J17" s="8">
        <v>-2.9E-5</v>
      </c>
      <c r="K17" s="8">
        <v>3.8000000000000002E-5</v>
      </c>
    </row>
    <row r="18" spans="1:11">
      <c r="A18" s="7" t="s">
        <v>3</v>
      </c>
      <c r="B18" s="8">
        <v>9.3999999999999994E-5</v>
      </c>
      <c r="C18" s="8">
        <v>-3.9999999999999998E-6</v>
      </c>
      <c r="D18" s="8">
        <v>2.1100000000000001E-4</v>
      </c>
      <c r="E18" s="8">
        <v>1.4200000000000001E-4</v>
      </c>
      <c r="F18" s="8">
        <v>7.8999999999999996E-5</v>
      </c>
      <c r="G18" s="8">
        <v>2.8400000000000002E-4</v>
      </c>
      <c r="H18" s="8">
        <v>-1.9999999999999999E-6</v>
      </c>
      <c r="I18" s="8">
        <v>8.2000000000000001E-5</v>
      </c>
      <c r="J18" s="8">
        <v>2.5599999999999999E-4</v>
      </c>
      <c r="K18" s="8">
        <v>2.0000000000000002E-5</v>
      </c>
    </row>
    <row r="19" spans="1:11">
      <c r="A19" s="7" t="s">
        <v>4</v>
      </c>
      <c r="B19" s="8">
        <v>1.18E-4</v>
      </c>
      <c r="C19" s="8">
        <v>-5.0000000000000004E-6</v>
      </c>
      <c r="D19" s="8">
        <v>1.4200000000000001E-4</v>
      </c>
      <c r="E19" s="8">
        <v>4.08E-4</v>
      </c>
      <c r="F19" s="8">
        <v>6.8999999999999997E-5</v>
      </c>
      <c r="G19" s="8">
        <v>3.2299999999999999E-4</v>
      </c>
      <c r="H19" s="8">
        <v>-1.9000000000000001E-5</v>
      </c>
      <c r="I19" s="8">
        <v>7.7999999999999999E-5</v>
      </c>
      <c r="J19" s="8">
        <v>2.5799999999999998E-4</v>
      </c>
      <c r="K19" s="8">
        <v>2.4000000000000001E-5</v>
      </c>
    </row>
    <row r="20" spans="1:11">
      <c r="A20" s="7" t="s">
        <v>5</v>
      </c>
      <c r="B20" s="8">
        <v>1.7899999999999999E-4</v>
      </c>
      <c r="C20" s="8">
        <v>3.6000000000000001E-5</v>
      </c>
      <c r="D20" s="8">
        <v>7.8999999999999996E-5</v>
      </c>
      <c r="E20" s="8">
        <v>6.8999999999999997E-5</v>
      </c>
      <c r="F20" s="8">
        <v>5.8299999999999997E-4</v>
      </c>
      <c r="G20" s="8">
        <v>1.0900000000000001E-4</v>
      </c>
      <c r="H20" s="8">
        <v>6.8999999999999997E-5</v>
      </c>
      <c r="I20" s="8">
        <v>2.42E-4</v>
      </c>
      <c r="J20" s="8">
        <v>2.13E-4</v>
      </c>
      <c r="K20" s="8">
        <v>5.1E-5</v>
      </c>
    </row>
    <row r="21" spans="1:11">
      <c r="A21" s="7" t="s">
        <v>6</v>
      </c>
      <c r="B21" s="8">
        <v>2.0100000000000001E-4</v>
      </c>
      <c r="C21" s="8">
        <v>-7.8999999999999996E-5</v>
      </c>
      <c r="D21" s="8">
        <v>2.8400000000000002E-4</v>
      </c>
      <c r="E21" s="8">
        <v>3.2299999999999999E-4</v>
      </c>
      <c r="F21" s="8">
        <v>1.0900000000000001E-4</v>
      </c>
      <c r="G21" s="8">
        <v>1.1950000000000001E-3</v>
      </c>
      <c r="H21" s="8">
        <v>-7.8999999999999996E-5</v>
      </c>
      <c r="I21" s="8">
        <v>1.7799999999999999E-4</v>
      </c>
      <c r="J21" s="8">
        <v>5.4199999999999995E-4</v>
      </c>
      <c r="K21" s="8">
        <v>-1.5E-5</v>
      </c>
    </row>
    <row r="22" spans="1:11">
      <c r="A22" s="7" t="s">
        <v>7</v>
      </c>
      <c r="B22" s="8">
        <v>3.0000000000000001E-6</v>
      </c>
      <c r="C22" s="8">
        <v>7.2999999999999999E-5</v>
      </c>
      <c r="D22" s="8">
        <v>-1.9999999999999999E-6</v>
      </c>
      <c r="E22" s="8">
        <v>-1.9000000000000001E-5</v>
      </c>
      <c r="F22" s="8">
        <v>6.8999999999999997E-5</v>
      </c>
      <c r="G22" s="8">
        <v>-7.8999999999999996E-5</v>
      </c>
      <c r="H22" s="8">
        <v>1.56E-4</v>
      </c>
      <c r="I22" s="8">
        <v>5.3000000000000001E-5</v>
      </c>
      <c r="J22" s="8">
        <v>3.9999999999999998E-6</v>
      </c>
      <c r="K22" s="8">
        <v>5.7000000000000003E-5</v>
      </c>
    </row>
    <row r="23" spans="1:11">
      <c r="A23" s="7" t="s">
        <v>8</v>
      </c>
      <c r="B23" s="8">
        <v>1.64E-4</v>
      </c>
      <c r="C23" s="8">
        <v>3.0000000000000001E-5</v>
      </c>
      <c r="D23" s="8">
        <v>8.2000000000000001E-5</v>
      </c>
      <c r="E23" s="8">
        <v>7.7999999999999999E-5</v>
      </c>
      <c r="F23" s="8">
        <v>2.42E-4</v>
      </c>
      <c r="G23" s="8">
        <v>1.7799999999999999E-4</v>
      </c>
      <c r="H23" s="8">
        <v>5.3000000000000001E-5</v>
      </c>
      <c r="I23" s="8">
        <v>5.5900000000000004E-4</v>
      </c>
      <c r="J23" s="8">
        <v>2.5700000000000001E-4</v>
      </c>
      <c r="K23" s="8">
        <v>4.1999999999999998E-5</v>
      </c>
    </row>
    <row r="24" spans="1:11">
      <c r="A24" s="7" t="s">
        <v>9</v>
      </c>
      <c r="B24" s="8">
        <v>3.6999999999999999E-4</v>
      </c>
      <c r="C24" s="8">
        <v>-2.9E-5</v>
      </c>
      <c r="D24" s="8">
        <v>2.5599999999999999E-4</v>
      </c>
      <c r="E24" s="8">
        <v>2.5799999999999998E-4</v>
      </c>
      <c r="F24" s="8">
        <v>2.13E-4</v>
      </c>
      <c r="G24" s="8">
        <v>5.4199999999999995E-4</v>
      </c>
      <c r="H24" s="8">
        <v>3.9999999999999998E-6</v>
      </c>
      <c r="I24" s="8">
        <v>2.5700000000000001E-4</v>
      </c>
      <c r="J24" s="8">
        <v>1.8159999999999999E-3</v>
      </c>
      <c r="K24" s="8">
        <v>4.6999999999999997E-5</v>
      </c>
    </row>
    <row r="25" spans="1:11">
      <c r="A25" s="7" t="s">
        <v>10</v>
      </c>
      <c r="B25" s="8">
        <v>5.3000000000000001E-5</v>
      </c>
      <c r="C25" s="8">
        <v>3.8000000000000002E-5</v>
      </c>
      <c r="D25" s="8">
        <v>2.0000000000000002E-5</v>
      </c>
      <c r="E25" s="8">
        <v>2.4000000000000001E-5</v>
      </c>
      <c r="F25" s="8">
        <v>5.1E-5</v>
      </c>
      <c r="G25" s="8">
        <v>-1.5E-5</v>
      </c>
      <c r="H25" s="8">
        <v>5.7000000000000003E-5</v>
      </c>
      <c r="I25" s="8">
        <v>4.1999999999999998E-5</v>
      </c>
      <c r="J25" s="8">
        <v>4.6999999999999997E-5</v>
      </c>
      <c r="K25" s="8">
        <v>1.4999999999999999E-4</v>
      </c>
    </row>
    <row r="27" spans="1:11">
      <c r="B27" t="b">
        <f>ROUND(B2,6)=ROUND(B16,6)</f>
        <v>1</v>
      </c>
      <c r="C27" t="b">
        <f t="shared" ref="C27:K27" si="0">ROUND(C2,6)=ROUND(C16,6)</f>
        <v>1</v>
      </c>
      <c r="D27" t="b">
        <f t="shared" si="0"/>
        <v>1</v>
      </c>
      <c r="E27" t="b">
        <f t="shared" si="0"/>
        <v>1</v>
      </c>
      <c r="F27" t="b">
        <f t="shared" si="0"/>
        <v>1</v>
      </c>
      <c r="G27" t="b">
        <f t="shared" si="0"/>
        <v>1</v>
      </c>
      <c r="H27" t="b">
        <f t="shared" si="0"/>
        <v>1</v>
      </c>
      <c r="I27" t="b">
        <f t="shared" si="0"/>
        <v>1</v>
      </c>
      <c r="J27" t="b">
        <f t="shared" si="0"/>
        <v>1</v>
      </c>
      <c r="K27" t="b">
        <f t="shared" si="0"/>
        <v>1</v>
      </c>
    </row>
    <row r="28" spans="1:11">
      <c r="B28" t="b">
        <f t="shared" ref="B28:K28" si="1">ROUND(B3,6)=ROUND(B17,6)</f>
        <v>1</v>
      </c>
      <c r="C28" t="b">
        <f t="shared" si="1"/>
        <v>1</v>
      </c>
      <c r="D28" t="b">
        <f t="shared" si="1"/>
        <v>1</v>
      </c>
      <c r="E28" t="b">
        <f t="shared" si="1"/>
        <v>1</v>
      </c>
      <c r="F28" t="b">
        <f t="shared" si="1"/>
        <v>1</v>
      </c>
      <c r="G28" t="b">
        <f t="shared" si="1"/>
        <v>1</v>
      </c>
      <c r="H28" t="b">
        <f t="shared" si="1"/>
        <v>1</v>
      </c>
      <c r="I28" t="b">
        <f t="shared" si="1"/>
        <v>1</v>
      </c>
      <c r="J28" t="b">
        <f t="shared" si="1"/>
        <v>1</v>
      </c>
      <c r="K28" t="b">
        <f t="shared" si="1"/>
        <v>1</v>
      </c>
    </row>
    <row r="29" spans="1:11">
      <c r="B29" t="b">
        <f t="shared" ref="B29:K29" si="2">ROUND(B4,6)=ROUND(B18,6)</f>
        <v>1</v>
      </c>
      <c r="C29" t="b">
        <f t="shared" si="2"/>
        <v>1</v>
      </c>
      <c r="D29" t="b">
        <f t="shared" si="2"/>
        <v>1</v>
      </c>
      <c r="E29" t="b">
        <f t="shared" si="2"/>
        <v>1</v>
      </c>
      <c r="F29" t="b">
        <f t="shared" si="2"/>
        <v>1</v>
      </c>
      <c r="G29" t="b">
        <f t="shared" si="2"/>
        <v>1</v>
      </c>
      <c r="H29" t="b">
        <f t="shared" si="2"/>
        <v>1</v>
      </c>
      <c r="I29" t="b">
        <f t="shared" si="2"/>
        <v>1</v>
      </c>
      <c r="J29" t="b">
        <f t="shared" si="2"/>
        <v>1</v>
      </c>
      <c r="K29" t="b">
        <f t="shared" si="2"/>
        <v>1</v>
      </c>
    </row>
    <row r="30" spans="1:11">
      <c r="B30" t="b">
        <f t="shared" ref="B30:K30" si="3">ROUND(B5,6)=ROUND(B19,6)</f>
        <v>1</v>
      </c>
      <c r="C30" t="b">
        <f t="shared" si="3"/>
        <v>1</v>
      </c>
      <c r="D30" t="b">
        <f t="shared" si="3"/>
        <v>1</v>
      </c>
      <c r="E30" t="b">
        <f t="shared" si="3"/>
        <v>1</v>
      </c>
      <c r="F30" t="b">
        <f t="shared" si="3"/>
        <v>1</v>
      </c>
      <c r="G30" t="b">
        <f t="shared" si="3"/>
        <v>1</v>
      </c>
      <c r="H30" t="b">
        <f t="shared" si="3"/>
        <v>1</v>
      </c>
      <c r="I30" t="b">
        <f t="shared" si="3"/>
        <v>1</v>
      </c>
      <c r="J30" t="b">
        <f t="shared" si="3"/>
        <v>1</v>
      </c>
      <c r="K30" t="b">
        <f t="shared" si="3"/>
        <v>1</v>
      </c>
    </row>
    <row r="31" spans="1:11">
      <c r="B31" t="b">
        <f t="shared" ref="B31:K31" si="4">ROUND(B6,6)=ROUND(B20,6)</f>
        <v>1</v>
      </c>
      <c r="C31" t="b">
        <f t="shared" si="4"/>
        <v>1</v>
      </c>
      <c r="D31" t="b">
        <f t="shared" si="4"/>
        <v>1</v>
      </c>
      <c r="E31" t="b">
        <f t="shared" si="4"/>
        <v>1</v>
      </c>
      <c r="F31" t="b">
        <f t="shared" si="4"/>
        <v>1</v>
      </c>
      <c r="G31" t="b">
        <f t="shared" si="4"/>
        <v>1</v>
      </c>
      <c r="H31" t="b">
        <f t="shared" si="4"/>
        <v>1</v>
      </c>
      <c r="I31" t="b">
        <f t="shared" si="4"/>
        <v>1</v>
      </c>
      <c r="J31" t="b">
        <f t="shared" si="4"/>
        <v>1</v>
      </c>
      <c r="K31" t="b">
        <f t="shared" si="4"/>
        <v>1</v>
      </c>
    </row>
    <row r="32" spans="1:11">
      <c r="B32" t="b">
        <f t="shared" ref="B32:K32" si="5">ROUND(B7,6)=ROUND(B21,6)</f>
        <v>1</v>
      </c>
      <c r="C32" t="b">
        <f t="shared" si="5"/>
        <v>1</v>
      </c>
      <c r="D32" t="b">
        <f t="shared" si="5"/>
        <v>1</v>
      </c>
      <c r="E32" t="b">
        <f t="shared" si="5"/>
        <v>1</v>
      </c>
      <c r="F32" t="b">
        <f t="shared" si="5"/>
        <v>1</v>
      </c>
      <c r="G32" t="b">
        <f t="shared" si="5"/>
        <v>1</v>
      </c>
      <c r="H32" t="b">
        <f t="shared" si="5"/>
        <v>1</v>
      </c>
      <c r="I32" t="b">
        <f t="shared" si="5"/>
        <v>1</v>
      </c>
      <c r="J32" t="b">
        <f t="shared" si="5"/>
        <v>1</v>
      </c>
      <c r="K32" t="b">
        <f t="shared" si="5"/>
        <v>1</v>
      </c>
    </row>
    <row r="33" spans="2:11">
      <c r="B33" t="b">
        <f t="shared" ref="B33:K33" si="6">ROUND(B8,6)=ROUND(B22,6)</f>
        <v>1</v>
      </c>
      <c r="C33" t="b">
        <f t="shared" si="6"/>
        <v>1</v>
      </c>
      <c r="D33" t="b">
        <f t="shared" si="6"/>
        <v>1</v>
      </c>
      <c r="E33" t="b">
        <f t="shared" si="6"/>
        <v>1</v>
      </c>
      <c r="F33" t="b">
        <f t="shared" si="6"/>
        <v>1</v>
      </c>
      <c r="G33" t="b">
        <f t="shared" si="6"/>
        <v>1</v>
      </c>
      <c r="H33" t="b">
        <f t="shared" si="6"/>
        <v>1</v>
      </c>
      <c r="I33" t="b">
        <f t="shared" si="6"/>
        <v>1</v>
      </c>
      <c r="J33" t="b">
        <f t="shared" si="6"/>
        <v>1</v>
      </c>
      <c r="K33" t="b">
        <f t="shared" si="6"/>
        <v>1</v>
      </c>
    </row>
    <row r="34" spans="2:11">
      <c r="B34" t="b">
        <f t="shared" ref="B34:K34" si="7">ROUND(B9,6)=ROUND(B23,6)</f>
        <v>1</v>
      </c>
      <c r="C34" t="b">
        <f t="shared" si="7"/>
        <v>1</v>
      </c>
      <c r="D34" t="b">
        <f t="shared" si="7"/>
        <v>1</v>
      </c>
      <c r="E34" t="b">
        <f t="shared" si="7"/>
        <v>1</v>
      </c>
      <c r="F34" t="b">
        <f t="shared" si="7"/>
        <v>1</v>
      </c>
      <c r="G34" t="b">
        <f t="shared" si="7"/>
        <v>1</v>
      </c>
      <c r="H34" t="b">
        <f t="shared" si="7"/>
        <v>1</v>
      </c>
      <c r="I34" t="b">
        <f t="shared" si="7"/>
        <v>1</v>
      </c>
      <c r="J34" t="b">
        <f t="shared" si="7"/>
        <v>1</v>
      </c>
      <c r="K34" t="b">
        <f t="shared" si="7"/>
        <v>1</v>
      </c>
    </row>
    <row r="35" spans="2:11">
      <c r="B35" t="b">
        <f t="shared" ref="B35:K35" si="8">ROUND(B10,6)=ROUND(B24,6)</f>
        <v>1</v>
      </c>
      <c r="C35" t="b">
        <f t="shared" si="8"/>
        <v>1</v>
      </c>
      <c r="D35" t="b">
        <f t="shared" si="8"/>
        <v>1</v>
      </c>
      <c r="E35" t="b">
        <f t="shared" si="8"/>
        <v>1</v>
      </c>
      <c r="F35" t="b">
        <f t="shared" si="8"/>
        <v>1</v>
      </c>
      <c r="G35" t="b">
        <f t="shared" si="8"/>
        <v>1</v>
      </c>
      <c r="H35" t="b">
        <f t="shared" si="8"/>
        <v>1</v>
      </c>
      <c r="I35" t="b">
        <f t="shared" si="8"/>
        <v>1</v>
      </c>
      <c r="J35" t="b">
        <f t="shared" si="8"/>
        <v>1</v>
      </c>
      <c r="K35" t="b">
        <f t="shared" si="8"/>
        <v>1</v>
      </c>
    </row>
    <row r="36" spans="2:11">
      <c r="B36" t="b">
        <f t="shared" ref="B36:K36" si="9">ROUND(B11,6)=ROUND(B25,6)</f>
        <v>1</v>
      </c>
      <c r="C36" t="b">
        <f t="shared" si="9"/>
        <v>1</v>
      </c>
      <c r="D36" t="b">
        <f t="shared" si="9"/>
        <v>1</v>
      </c>
      <c r="E36" t="b">
        <f t="shared" si="9"/>
        <v>1</v>
      </c>
      <c r="F36" t="b">
        <f t="shared" si="9"/>
        <v>1</v>
      </c>
      <c r="G36" t="b">
        <f t="shared" si="9"/>
        <v>1</v>
      </c>
      <c r="H36" t="b">
        <f t="shared" si="9"/>
        <v>1</v>
      </c>
      <c r="I36" t="b">
        <f t="shared" si="9"/>
        <v>1</v>
      </c>
      <c r="J36" t="b">
        <f t="shared" si="9"/>
        <v>1</v>
      </c>
      <c r="K36" t="b">
        <f t="shared" si="9"/>
        <v>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C5C43-A8F8-48B2-9D01-4EE0FE5E1245}">
  <dimension ref="A1:K11"/>
  <sheetViews>
    <sheetView workbookViewId="0">
      <selection activeCell="F6" sqref="F6"/>
    </sheetView>
  </sheetViews>
  <sheetFormatPr baseColWidth="10" defaultRowHeight="15"/>
  <sheetData>
    <row r="1" spans="1:11"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t="s">
        <v>1</v>
      </c>
      <c r="B2">
        <f>CORREL(Returns!$B3:$B396,Returns!B3:B396)</f>
        <v>1</v>
      </c>
      <c r="C2">
        <f>CORREL(Returns!$B3:$B396,Returns!C3:C396)</f>
        <v>3.9610116740517419E-2</v>
      </c>
      <c r="D2">
        <f>CORREL(Returns!$B3:$B396,Returns!D3:D396)</f>
        <v>0.2737417858828522</v>
      </c>
      <c r="E2">
        <f>CORREL(Returns!$B3:$B396,Returns!E3:E396)</f>
        <v>0.24753375798065086</v>
      </c>
      <c r="F2">
        <f>CORREL(Returns!$B3:$B396,Returns!F3:F396)</f>
        <v>0.31445064808568612</v>
      </c>
      <c r="G2">
        <f>CORREL(Returns!$B3:$B396,Returns!G3:G396)</f>
        <v>0.24712096090319882</v>
      </c>
      <c r="H2">
        <f>CORREL(Returns!$B3:$B396,Returns!H3:H396)</f>
        <v>1.0396126818739609E-2</v>
      </c>
      <c r="I2">
        <f>CORREL(Returns!$B3:$B396,Returns!I3:I396)</f>
        <v>0.29364763713196174</v>
      </c>
      <c r="J2">
        <f>CORREL(Returns!$B3:$B396,Returns!J3:J396)</f>
        <v>0.36800807421706494</v>
      </c>
      <c r="K2">
        <f>CORREL(Returns!$B3:$B396,Returns!K3:K396)</f>
        <v>0.18266279390723225</v>
      </c>
    </row>
    <row r="3" spans="1:11">
      <c r="A3" t="s">
        <v>2</v>
      </c>
      <c r="B3">
        <f>CORREL(Returns!$C$3:$C$396,Returns!B$3:B$396)</f>
        <v>3.9610116740517419E-2</v>
      </c>
      <c r="C3">
        <f>CORREL(Returns!$C$3:$C$396,Returns!C$3:C$396)</f>
        <v>1</v>
      </c>
      <c r="D3">
        <f>CORREL(Returns!$C$3:$C$396,Returns!D$3:D$396)</f>
        <v>-2.9519723912944943E-2</v>
      </c>
      <c r="E3">
        <f>CORREL(Returns!$C$3:$C$396,Returns!E$3:E$396)</f>
        <v>-2.3597086426160253E-2</v>
      </c>
      <c r="F3">
        <f>CORREL(Returns!$C$3:$C$396,Returns!F$3:F$396)</f>
        <v>0.15221265326881933</v>
      </c>
      <c r="G3">
        <f>CORREL(Returns!$C$3:$C$396,Returns!G$3:G$396)</f>
        <v>-0.23657097082470266</v>
      </c>
      <c r="H3">
        <f>CORREL(Returns!$C$3:$C$396,Returns!H$3:H$396)</f>
        <v>0.60231912071916949</v>
      </c>
      <c r="I3">
        <f>CORREL(Returns!$C$3:$C$396,Returns!I$3:I$396)</f>
        <v>0.12900471360237237</v>
      </c>
      <c r="J3">
        <f>CORREL(Returns!$C$3:$C$396,Returns!J$3:J$396)</f>
        <v>-7.06405149463602E-2</v>
      </c>
      <c r="K3">
        <f>CORREL(Returns!$C$3:$C$396,Returns!K$3:K$396)</f>
        <v>0.31557926572405698</v>
      </c>
    </row>
    <row r="4" spans="1:11">
      <c r="A4" t="s">
        <v>3</v>
      </c>
      <c r="B4">
        <f>CORREL(Returns!$D$3:$D$396,Returns!B$3:B$396)</f>
        <v>0.2737417858828522</v>
      </c>
      <c r="C4">
        <f>CORREL(Returns!$D$3:$D$396,Returns!C$3:C$396)</f>
        <v>-2.9519723912944943E-2</v>
      </c>
      <c r="D4">
        <f>CORREL(Returns!$D$3:$D$396,Returns!D$3:D$396)</f>
        <v>1</v>
      </c>
      <c r="E4">
        <f>CORREL(Returns!$D$3:$D$396,Returns!E$3:E$396)</f>
        <v>0.48276147997455332</v>
      </c>
      <c r="F4">
        <f>CORREL(Returns!$D$3:$D$396,Returns!F$3:F$396)</f>
        <v>0.2255144364326799</v>
      </c>
      <c r="G4">
        <f>CORREL(Returns!$D$3:$D$396,Returns!G$3:G$396)</f>
        <v>0.56498247452606098</v>
      </c>
      <c r="H4">
        <f>CORREL(Returns!$D$3:$D$396,Returns!H$3:H$396)</f>
        <v>-9.8305413904299695E-3</v>
      </c>
      <c r="I4">
        <f>CORREL(Returns!$D$3:$D$396,Returns!I$3:I$396)</f>
        <v>0.23981848028606703</v>
      </c>
      <c r="J4">
        <f>CORREL(Returns!$D$3:$D$396,Returns!J$3:J$396)</f>
        <v>0.41295542637292704</v>
      </c>
      <c r="K4">
        <f>CORREL(Returns!$D$3:$D$396,Returns!K$3:K$396)</f>
        <v>0.11168628721569694</v>
      </c>
    </row>
    <row r="5" spans="1:11">
      <c r="A5" t="s">
        <v>4</v>
      </c>
      <c r="B5">
        <f>CORREL(Returns!$E$3:$E$396,Returns!B$3:B$396)</f>
        <v>0.24753375798065086</v>
      </c>
      <c r="C5">
        <f>CORREL(Returns!$E$3:$E$396,Returns!C$3:C$396)</f>
        <v>-2.3597086426160253E-2</v>
      </c>
      <c r="D5">
        <f>CORREL(Returns!$E$3:$E$396,Returns!D$3:D$396)</f>
        <v>0.48276147997455332</v>
      </c>
      <c r="E5">
        <f>CORREL(Returns!$E$3:$E$396,Returns!E$3:E$396)</f>
        <v>0.99999999999999989</v>
      </c>
      <c r="F5">
        <f>CORREL(Returns!$E$3:$E$396,Returns!F$3:F$396)</f>
        <v>0.14159393623322702</v>
      </c>
      <c r="G5">
        <f>CORREL(Returns!$E$3:$E$396,Returns!G$3:G$396)</f>
        <v>0.46295997121673249</v>
      </c>
      <c r="H5">
        <f>CORREL(Returns!$E$3:$E$396,Returns!H$3:H$396)</f>
        <v>-7.6920577289563669E-2</v>
      </c>
      <c r="I5">
        <f>CORREL(Returns!$E$3:$E$396,Returns!I$3:I$396)</f>
        <v>0.16277469576643067</v>
      </c>
      <c r="J5">
        <f>CORREL(Returns!$E$3:$E$396,Returns!J$3:J$396)</f>
        <v>0.30022437295263998</v>
      </c>
      <c r="K5">
        <f>CORREL(Returns!$E$3:$E$396,Returns!K$3:K$396)</f>
        <v>9.7819175913623241E-2</v>
      </c>
    </row>
    <row r="6" spans="1:11">
      <c r="A6" t="s">
        <v>5</v>
      </c>
      <c r="B6">
        <f>CORREL(Returns!$F$3:$F$396,Returns!B$3:B$396)</f>
        <v>0.31445064808568612</v>
      </c>
      <c r="C6">
        <f>CORREL(Returns!$F$3:$F$396,Returns!C$3:C$396)</f>
        <v>0.15221265326881933</v>
      </c>
      <c r="D6">
        <f>CORREL(Returns!$F$3:$F$396,Returns!D$3:D$396)</f>
        <v>0.2255144364326799</v>
      </c>
      <c r="E6">
        <f>CORREL(Returns!$F$3:$F$396,Returns!E$3:E$396)</f>
        <v>0.14159393623322702</v>
      </c>
      <c r="F6">
        <f>CORREL(Returns!$F$3:$F$396,Returns!F$3:F$396)</f>
        <v>1.0000000000000002</v>
      </c>
      <c r="G6">
        <f>CORREL(Returns!$F$3:$F$396,Returns!G$3:G$396)</f>
        <v>0.13092693820403728</v>
      </c>
      <c r="H6">
        <f>CORREL(Returns!$F$3:$F$396,Returns!H$3:H$396)</f>
        <v>0.22774665765682831</v>
      </c>
      <c r="I6">
        <f>CORREL(Returns!$F$3:$F$396,Returns!I$3:I$396)</f>
        <v>0.42398414282306129</v>
      </c>
      <c r="J6">
        <f>CORREL(Returns!$F$3:$F$396,Returns!J$3:J$396)</f>
        <v>0.20701650218819875</v>
      </c>
      <c r="K6">
        <f>CORREL(Returns!$F$3:$F$396,Returns!K$3:K$396)</f>
        <v>0.17404915280364153</v>
      </c>
    </row>
    <row r="7" spans="1:11">
      <c r="A7" t="s">
        <v>6</v>
      </c>
      <c r="B7">
        <f>CORREL(Returns!$G$3:$G$396,Returns!B$3:B$396)</f>
        <v>0.24712096090319882</v>
      </c>
      <c r="C7">
        <f>CORREL(Returns!$G$3:$G$396,Returns!C$3:C$396)</f>
        <v>-0.23657097082470266</v>
      </c>
      <c r="D7">
        <f>CORREL(Returns!$G$3:$G$396,Returns!D$3:D$396)</f>
        <v>0.56498247452606098</v>
      </c>
      <c r="E7">
        <f>CORREL(Returns!$G$3:$G$396,Returns!E$3:E$396)</f>
        <v>0.46295997121673249</v>
      </c>
      <c r="F7">
        <f>CORREL(Returns!$G$3:$G$396,Returns!F$3:F$396)</f>
        <v>0.13092693820403728</v>
      </c>
      <c r="G7">
        <f>CORREL(Returns!$G$3:$G$396,Returns!G$3:G$396)</f>
        <v>1.0000000000000002</v>
      </c>
      <c r="H7">
        <f>CORREL(Returns!$G$3:$G$396,Returns!H$3:H$396)</f>
        <v>-0.18299231417069473</v>
      </c>
      <c r="I7">
        <f>CORREL(Returns!$G$3:$G$396,Returns!I$3:I$396)</f>
        <v>0.21768873394544092</v>
      </c>
      <c r="J7">
        <f>CORREL(Returns!$G$3:$G$396,Returns!J$3:J$396)</f>
        <v>0.36813385867481235</v>
      </c>
      <c r="K7">
        <f>CORREL(Returns!$G$3:$G$396,Returns!K$3:K$396)</f>
        <v>-3.5977704664137182E-2</v>
      </c>
    </row>
    <row r="8" spans="1:11">
      <c r="A8" t="s">
        <v>7</v>
      </c>
      <c r="B8">
        <f>CORREL(Returns!$H$3:$H$396,Returns!B$3:B$396)</f>
        <v>1.0396126818739609E-2</v>
      </c>
      <c r="C8">
        <f>CORREL(Returns!$H$3:$H$396,Returns!C$3:C$396)</f>
        <v>0.60231912071916949</v>
      </c>
      <c r="D8">
        <f>CORREL(Returns!$H$3:$H$396,Returns!D$3:D$396)</f>
        <v>-9.8305413904299695E-3</v>
      </c>
      <c r="E8">
        <f>CORREL(Returns!$H$3:$H$396,Returns!E$3:E$396)</f>
        <v>-7.6920577289563669E-2</v>
      </c>
      <c r="F8">
        <f>CORREL(Returns!$H$3:$H$396,Returns!F$3:F$396)</f>
        <v>0.22774665765682831</v>
      </c>
      <c r="G8">
        <f>CORREL(Returns!$H$3:$H$396,Returns!G$3:G$396)</f>
        <v>-0.18299231417069473</v>
      </c>
      <c r="H8">
        <f>CORREL(Returns!$H$3:$H$396,Returns!H$3:H$396)</f>
        <v>1</v>
      </c>
      <c r="I8">
        <f>CORREL(Returns!$H$3:$H$396,Returns!I$3:I$396)</f>
        <v>0.17845491151170409</v>
      </c>
      <c r="J8">
        <f>CORREL(Returns!$H$3:$H$396,Returns!J$3:J$396)</f>
        <v>6.8869694963073665E-3</v>
      </c>
      <c r="K8">
        <f>CORREL(Returns!$H$3:$H$396,Returns!K$3:K$396)</f>
        <v>0.37348248243273841</v>
      </c>
    </row>
    <row r="9" spans="1:11">
      <c r="A9" t="s">
        <v>8</v>
      </c>
      <c r="B9">
        <f>CORREL(Returns!$I$3:$I$396,Returns!B$3:B$396)</f>
        <v>0.29364763713196174</v>
      </c>
      <c r="C9">
        <f>CORREL(Returns!$I$3:$I$396,Returns!C$3:C$396)</f>
        <v>0.12900471360237237</v>
      </c>
      <c r="D9">
        <f>CORREL(Returns!$I$3:$I$396,Returns!D$3:D$396)</f>
        <v>0.23981848028606703</v>
      </c>
      <c r="E9">
        <f>CORREL(Returns!$I$3:$I$396,Returns!E$3:E$396)</f>
        <v>0.16277469576643067</v>
      </c>
      <c r="F9">
        <f>CORREL(Returns!$I$3:$I$396,Returns!F$3:F$396)</f>
        <v>0.42398414282306129</v>
      </c>
      <c r="G9">
        <f>CORREL(Returns!$I$3:$I$396,Returns!G$3:G$396)</f>
        <v>0.21768873394544092</v>
      </c>
      <c r="H9">
        <f>CORREL(Returns!$I$3:$I$396,Returns!H$3:H$396)</f>
        <v>0.17845491151170409</v>
      </c>
      <c r="I9">
        <f>CORREL(Returns!$I$3:$I$396,Returns!I$3:I$396)</f>
        <v>1</v>
      </c>
      <c r="J9">
        <f>CORREL(Returns!$I$3:$I$396,Returns!J$3:J$396)</f>
        <v>0.25479522681690281</v>
      </c>
      <c r="K9">
        <f>CORREL(Returns!$I$3:$I$396,Returns!K$3:K$396)</f>
        <v>0.14562616239789614</v>
      </c>
    </row>
    <row r="10" spans="1:11">
      <c r="A10" t="s">
        <v>9</v>
      </c>
      <c r="B10">
        <f>CORREL(Returns!$J$3:$J$396,Returns!B$3:B$396)</f>
        <v>0.36800807421706494</v>
      </c>
      <c r="C10">
        <f>CORREL(Returns!$J$3:$J$396,Returns!C$3:C$396)</f>
        <v>-7.06405149463602E-2</v>
      </c>
      <c r="D10">
        <f>CORREL(Returns!$J$3:$J$396,Returns!D$3:D$396)</f>
        <v>0.41295542637292704</v>
      </c>
      <c r="E10">
        <f>CORREL(Returns!$J$3:$J$396,Returns!E$3:E$396)</f>
        <v>0.30022437295263998</v>
      </c>
      <c r="F10">
        <f>CORREL(Returns!$J$3:$J$396,Returns!F$3:F$396)</f>
        <v>0.20701650218819875</v>
      </c>
      <c r="G10">
        <f>CORREL(Returns!$J$3:$J$396,Returns!G$3:G$396)</f>
        <v>0.36813385867481235</v>
      </c>
      <c r="H10">
        <f>CORREL(Returns!$J$3:$J$396,Returns!H$3:H$396)</f>
        <v>6.8869694963073665E-3</v>
      </c>
      <c r="I10">
        <f>CORREL(Returns!$J$3:$J$396,Returns!I$3:I$396)</f>
        <v>0.25479522681690281</v>
      </c>
      <c r="J10">
        <f>CORREL(Returns!$J$3:$J$396,Returns!J$3:J$396)</f>
        <v>1.0000000000000002</v>
      </c>
      <c r="K10">
        <f>CORREL(Returns!$J$3:$J$396,Returns!K$3:K$396)</f>
        <v>8.9415419648446653E-2</v>
      </c>
    </row>
    <row r="11" spans="1:11">
      <c r="A11" t="s">
        <v>10</v>
      </c>
      <c r="B11">
        <f>CORREL(Returns!$K$3:$K$396,Returns!B$3:B$396)</f>
        <v>0.18266279390723225</v>
      </c>
      <c r="C11">
        <f>CORREL(Returns!$K$3:$K$396,Returns!C$3:C$396)</f>
        <v>0.31557926572405698</v>
      </c>
      <c r="D11">
        <f>CORREL(Returns!$K$3:$K$396,Returns!D$3:D$396)</f>
        <v>0.11168628721569694</v>
      </c>
      <c r="E11">
        <f>CORREL(Returns!$K$3:$K$396,Returns!E$3:E$396)</f>
        <v>9.7819175913623241E-2</v>
      </c>
      <c r="F11">
        <f>CORREL(Returns!$K$3:$K$396,Returns!F$3:F$396)</f>
        <v>0.17404915280364153</v>
      </c>
      <c r="G11">
        <f>CORREL(Returns!$K$3:$K$396,Returns!G$3:G$396)</f>
        <v>-3.5977704664137182E-2</v>
      </c>
      <c r="H11">
        <f>CORREL(Returns!$K$3:$K$396,Returns!H$3:H$396)</f>
        <v>0.37348248243273841</v>
      </c>
      <c r="I11">
        <f>CORREL(Returns!$K$3:$K$396,Returns!I$3:I$396)</f>
        <v>0.14562616239789614</v>
      </c>
      <c r="J11">
        <f>CORREL(Returns!$K$3:$K$396,Returns!J$3:J$396)</f>
        <v>8.9415419648446653E-2</v>
      </c>
      <c r="K11">
        <f>CORREL(Returns!$K$3:$K$396,Returns!K$3:K$396)</f>
        <v>1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98197-35E0-4F7F-A081-91A4036BA2CF}">
  <sheetPr codeName="Tabelle5"/>
  <dimension ref="A1:Y404"/>
  <sheetViews>
    <sheetView topLeftCell="A371" workbookViewId="0">
      <selection activeCell="L391" sqref="L391"/>
    </sheetView>
  </sheetViews>
  <sheetFormatPr baseColWidth="10" defaultRowHeight="15"/>
  <cols>
    <col min="1" max="1" width="19.7109375" bestFit="1" customWidth="1"/>
    <col min="11" max="11" width="17.140625" customWidth="1"/>
    <col min="12" max="12" width="38.42578125" customWidth="1"/>
    <col min="13" max="13" width="15.7109375" customWidth="1"/>
  </cols>
  <sheetData>
    <row r="1" spans="1: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18" t="s">
        <v>16</v>
      </c>
      <c r="O1" s="18" t="s">
        <v>17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9</v>
      </c>
      <c r="Y1" t="s">
        <v>10</v>
      </c>
    </row>
    <row r="2" spans="1:25">
      <c r="A2" s="1">
        <v>45293</v>
      </c>
      <c r="P2">
        <v>0.1</v>
      </c>
      <c r="Q2">
        <v>0.1</v>
      </c>
      <c r="R2">
        <v>0.1</v>
      </c>
      <c r="S2">
        <v>0.1</v>
      </c>
      <c r="T2">
        <v>0.1</v>
      </c>
      <c r="U2">
        <v>0.1</v>
      </c>
      <c r="V2">
        <v>0.1</v>
      </c>
      <c r="W2">
        <v>0.1</v>
      </c>
      <c r="X2">
        <v>0.1</v>
      </c>
      <c r="Y2">
        <v>0.1</v>
      </c>
    </row>
    <row r="3" spans="1:25">
      <c r="A3" s="1">
        <v>45294</v>
      </c>
      <c r="B3">
        <v>-3.1180453670183406E-2</v>
      </c>
      <c r="C3">
        <v>2.3403516101274668E-3</v>
      </c>
      <c r="D3">
        <v>-7.2801305696434948E-4</v>
      </c>
      <c r="E3">
        <v>3.7566910685697952E-3</v>
      </c>
      <c r="F3">
        <v>-2.3557151981731916E-2</v>
      </c>
      <c r="G3">
        <v>-1.2435689251573456E-2</v>
      </c>
      <c r="H3">
        <v>2.3128687179707619E-4</v>
      </c>
      <c r="I3">
        <v>-4.6971339097380271E-3</v>
      </c>
      <c r="J3">
        <v>-4.0133649843772323E-2</v>
      </c>
      <c r="K3">
        <v>2.8339451509515889E-3</v>
      </c>
      <c r="L3" s="11">
        <f>SUMPRODUCT(B3:K3,$P$2:$Y$2)</f>
        <v>-1.0356981701251758E-2</v>
      </c>
      <c r="M3" s="11">
        <f>SUM(B3:K3)/10</f>
        <v>-1.0356981701251756E-2</v>
      </c>
    </row>
    <row r="4" spans="1:25">
      <c r="A4" s="1">
        <v>45295</v>
      </c>
      <c r="B4">
        <v>4.2228640229280412E-3</v>
      </c>
      <c r="C4">
        <v>-3.3355055637329656E-3</v>
      </c>
      <c r="D4">
        <v>-7.1776686609744678E-3</v>
      </c>
      <c r="E4">
        <v>9.3777986018988013E-3</v>
      </c>
      <c r="F4">
        <v>-1.6724325695740561E-2</v>
      </c>
      <c r="G4">
        <v>9.0185793436983186E-3</v>
      </c>
      <c r="H4">
        <v>-8.5573998817440877E-3</v>
      </c>
      <c r="I4">
        <v>3.4324585791192241E-3</v>
      </c>
      <c r="J4">
        <v>-2.1807686270336468E-3</v>
      </c>
      <c r="K4">
        <v>-4.7375957984713279E-3</v>
      </c>
      <c r="L4" s="11">
        <f t="shared" ref="L4:L67" si="0">SUMPRODUCT(B4:K4,$P$2:$Y$2)</f>
        <v>-1.6661563680052671E-3</v>
      </c>
      <c r="M4" s="11">
        <f t="shared" ref="M4:M67" si="1">SUM(B4:K4)/10</f>
        <v>-1.6661563680052671E-3</v>
      </c>
    </row>
    <row r="5" spans="1:25">
      <c r="A5" s="1">
        <v>45296</v>
      </c>
      <c r="B5">
        <v>1.6575477742004407E-2</v>
      </c>
      <c r="C5">
        <v>-1.5060508325176469E-3</v>
      </c>
      <c r="D5">
        <v>-5.1630127970481166E-4</v>
      </c>
      <c r="E5">
        <v>-1.2851367305380945E-3</v>
      </c>
      <c r="F5">
        <v>-2.1505714697958034E-3</v>
      </c>
      <c r="G5">
        <v>2.2896778677486074E-2</v>
      </c>
      <c r="H5">
        <v>-1.4754792720105159E-2</v>
      </c>
      <c r="I5">
        <v>-5.986276123287837E-3</v>
      </c>
      <c r="J5">
        <v>-1.8492295892117427E-3</v>
      </c>
      <c r="K5">
        <v>-2.5888885471901935E-3</v>
      </c>
      <c r="L5" s="11">
        <f t="shared" si="0"/>
        <v>8.8350091271391872E-4</v>
      </c>
      <c r="M5" s="11">
        <f t="shared" si="1"/>
        <v>8.8350091271391926E-4</v>
      </c>
    </row>
    <row r="6" spans="1:25">
      <c r="A6" s="1">
        <v>45299</v>
      </c>
      <c r="B6">
        <v>-8.0321285140562249E-2</v>
      </c>
      <c r="C6">
        <v>7.3738425901161975E-3</v>
      </c>
      <c r="D6">
        <v>1.8871558706754943E-2</v>
      </c>
      <c r="E6">
        <v>2.3140533428676724E-2</v>
      </c>
      <c r="F6">
        <v>1.5086290938320257E-2</v>
      </c>
      <c r="G6">
        <v>6.4280799974564928E-2</v>
      </c>
      <c r="H6">
        <v>1.0063062173208959E-3</v>
      </c>
      <c r="I6">
        <v>1.2904707299611573E-2</v>
      </c>
      <c r="J6">
        <v>1.246364641295683E-2</v>
      </c>
      <c r="K6">
        <v>1.3815143487643455E-2</v>
      </c>
      <c r="L6" s="11">
        <f t="shared" si="0"/>
        <v>8.8621543915403545E-3</v>
      </c>
      <c r="M6" s="11">
        <f t="shared" si="1"/>
        <v>8.8621543915403563E-3</v>
      </c>
    </row>
    <row r="7" spans="1:25">
      <c r="A7" s="1">
        <v>45300</v>
      </c>
      <c r="B7">
        <v>-1.4148495603340638E-2</v>
      </c>
      <c r="C7">
        <v>-1.8299004094671778E-3</v>
      </c>
      <c r="D7">
        <v>2.9357406406587128E-3</v>
      </c>
      <c r="E7">
        <v>-6.0614857819213386E-3</v>
      </c>
      <c r="F7">
        <v>-8.4925506626712943E-3</v>
      </c>
      <c r="G7">
        <v>1.6975300977612573E-2</v>
      </c>
      <c r="H7">
        <v>-1.147185004215312E-2</v>
      </c>
      <c r="I7">
        <v>-1.167871823498623E-2</v>
      </c>
      <c r="J7">
        <v>-2.2832149320246131E-2</v>
      </c>
      <c r="K7">
        <v>-9.4975130663363938E-3</v>
      </c>
      <c r="L7" s="11">
        <f t="shared" si="0"/>
        <v>-6.6101621502851048E-3</v>
      </c>
      <c r="M7" s="11">
        <f t="shared" si="1"/>
        <v>-6.610162150285104E-3</v>
      </c>
    </row>
    <row r="8" spans="1:25">
      <c r="A8" s="1">
        <v>45301</v>
      </c>
      <c r="B8">
        <v>9.2133322185743438E-3</v>
      </c>
      <c r="C8">
        <v>3.3332817060771625E-3</v>
      </c>
      <c r="D8">
        <v>1.8574080110699498E-2</v>
      </c>
      <c r="E8">
        <v>-7.7993938770504201E-3</v>
      </c>
      <c r="F8">
        <v>1.0025217028603262E-2</v>
      </c>
      <c r="G8">
        <v>2.2769956945986491E-2</v>
      </c>
      <c r="H8">
        <v>-1.4953217872102353E-3</v>
      </c>
      <c r="I8">
        <v>4.4043752380902301E-3</v>
      </c>
      <c r="J8">
        <v>-4.3411825132569914E-3</v>
      </c>
      <c r="K8">
        <v>2.3220980624359067E-2</v>
      </c>
      <c r="L8" s="11">
        <f t="shared" si="0"/>
        <v>7.7905325694872414E-3</v>
      </c>
      <c r="M8" s="11">
        <f t="shared" si="1"/>
        <v>7.7905325694872405E-3</v>
      </c>
    </row>
    <row r="9" spans="1:25">
      <c r="A9" s="1">
        <v>45302</v>
      </c>
      <c r="B9">
        <v>-2.2735221028089336E-2</v>
      </c>
      <c r="C9">
        <v>-6.4782556212518161E-3</v>
      </c>
      <c r="D9">
        <v>4.859525155525013E-3</v>
      </c>
      <c r="E9">
        <v>2.9059487810227491E-2</v>
      </c>
      <c r="F9">
        <v>2.0526167174658827E-2</v>
      </c>
      <c r="G9">
        <v>8.684457456466621E-3</v>
      </c>
      <c r="H9">
        <v>-4.7329435928310515E-3</v>
      </c>
      <c r="I9">
        <v>-5.9892244823218643E-3</v>
      </c>
      <c r="J9">
        <v>-2.8725319101362778E-2</v>
      </c>
      <c r="K9">
        <v>6.6411283131673216E-3</v>
      </c>
      <c r="L9" s="11">
        <f t="shared" si="0"/>
        <v>1.1098020841884219E-4</v>
      </c>
      <c r="M9" s="11">
        <f t="shared" si="1"/>
        <v>1.109802084188427E-4</v>
      </c>
    </row>
    <row r="10" spans="1:25">
      <c r="A10" s="1">
        <v>45303</v>
      </c>
      <c r="B10">
        <v>-2.2276145838001193E-2</v>
      </c>
      <c r="C10">
        <v>9.6971905221183707E-3</v>
      </c>
      <c r="D10">
        <v>9.9834730851031672E-3</v>
      </c>
      <c r="E10">
        <v>-1.4222481900028061E-4</v>
      </c>
      <c r="F10">
        <v>-7.9320419113790841E-3</v>
      </c>
      <c r="G10">
        <v>-2.0431099044009304E-3</v>
      </c>
      <c r="H10">
        <v>6.8623353576595658E-3</v>
      </c>
      <c r="I10">
        <v>-1.032925150110342E-2</v>
      </c>
      <c r="J10">
        <v>-3.6660513098773828E-2</v>
      </c>
      <c r="K10">
        <v>5.3829897022310558E-3</v>
      </c>
      <c r="L10" s="11">
        <f t="shared" si="0"/>
        <v>-4.7457298405546577E-3</v>
      </c>
      <c r="M10" s="11">
        <f t="shared" si="1"/>
        <v>-4.7457298405546577E-3</v>
      </c>
    </row>
    <row r="11" spans="1:25">
      <c r="A11" s="1">
        <v>45307</v>
      </c>
      <c r="B11">
        <v>-7.8915906828728732E-2</v>
      </c>
      <c r="C11">
        <v>-6.6235111464395535E-3</v>
      </c>
      <c r="D11">
        <v>4.6336907821415974E-3</v>
      </c>
      <c r="E11">
        <v>-2.2187933490083189E-2</v>
      </c>
      <c r="F11">
        <v>-3.1791356309537888E-2</v>
      </c>
      <c r="G11">
        <v>3.0561297510232732E-2</v>
      </c>
      <c r="H11">
        <v>-6.57638330316479E-3</v>
      </c>
      <c r="I11">
        <v>7.8277938774868883E-3</v>
      </c>
      <c r="J11">
        <v>4.6598943547222493E-3</v>
      </c>
      <c r="K11">
        <v>-1.0507230738726836E-2</v>
      </c>
      <c r="L11" s="11">
        <f t="shared" si="0"/>
        <v>-1.0891964529209756E-2</v>
      </c>
      <c r="M11" s="11">
        <f t="shared" si="1"/>
        <v>-1.0891964529209753E-2</v>
      </c>
    </row>
    <row r="12" spans="1:25">
      <c r="A12" s="1">
        <v>45308</v>
      </c>
      <c r="B12">
        <v>1.266703187718754E-2</v>
      </c>
      <c r="C12">
        <v>0</v>
      </c>
      <c r="D12">
        <v>-2.0500073033803412E-3</v>
      </c>
      <c r="E12">
        <v>-1.8909560314528395E-3</v>
      </c>
      <c r="F12">
        <v>-8.8477747262654116E-3</v>
      </c>
      <c r="G12">
        <v>-5.8351945889543178E-3</v>
      </c>
      <c r="H12">
        <v>1.6248477701978903E-3</v>
      </c>
      <c r="I12">
        <v>-1.0032443924271162E-2</v>
      </c>
      <c r="J12">
        <v>-1.9826295019535145E-2</v>
      </c>
      <c r="K12">
        <v>5.207781834527303E-3</v>
      </c>
      <c r="L12" s="11">
        <f t="shared" si="0"/>
        <v>-2.8983010111946479E-3</v>
      </c>
      <c r="M12" s="11">
        <f t="shared" si="1"/>
        <v>-2.8983010111946483E-3</v>
      </c>
    </row>
    <row r="13" spans="1:25">
      <c r="A13" s="1">
        <v>45309</v>
      </c>
      <c r="B13">
        <v>4.2105797077491181E-2</v>
      </c>
      <c r="C13">
        <v>2.8337450683868504E-3</v>
      </c>
      <c r="D13">
        <v>1.129740910289545E-2</v>
      </c>
      <c r="E13">
        <v>1.0367895250235071E-2</v>
      </c>
      <c r="F13">
        <v>1.1903224796590006E-3</v>
      </c>
      <c r="G13">
        <v>1.8803640284863921E-2</v>
      </c>
      <c r="H13">
        <v>4.3858874606961251E-3</v>
      </c>
      <c r="I13">
        <v>1.710798930792734E-2</v>
      </c>
      <c r="J13">
        <v>-1.7026203279912666E-2</v>
      </c>
      <c r="K13">
        <v>2.8331524748592685E-3</v>
      </c>
      <c r="L13" s="11">
        <f t="shared" si="0"/>
        <v>9.3899635227101541E-3</v>
      </c>
      <c r="M13" s="11">
        <f t="shared" si="1"/>
        <v>9.3899635227101541E-3</v>
      </c>
    </row>
    <row r="14" spans="1:25">
      <c r="A14" s="1">
        <v>45310</v>
      </c>
      <c r="B14">
        <v>1.6114567611518638E-2</v>
      </c>
      <c r="C14">
        <v>-5.4853373300141062E-3</v>
      </c>
      <c r="D14">
        <v>1.2186760273422692E-2</v>
      </c>
      <c r="E14">
        <v>-4.8628409953105356E-3</v>
      </c>
      <c r="F14">
        <v>8.3217288151067326E-3</v>
      </c>
      <c r="G14">
        <v>4.1746106668589578E-2</v>
      </c>
      <c r="H14">
        <v>-8.3148691900875038E-3</v>
      </c>
      <c r="I14">
        <v>5.5710772393922081E-3</v>
      </c>
      <c r="J14">
        <v>1.463080760100377E-3</v>
      </c>
      <c r="K14">
        <v>1.2067616681607829E-2</v>
      </c>
      <c r="L14" s="11">
        <f t="shared" si="0"/>
        <v>7.8807890534325908E-3</v>
      </c>
      <c r="M14" s="11">
        <f t="shared" si="1"/>
        <v>7.8807890534325908E-3</v>
      </c>
    </row>
    <row r="15" spans="1:25">
      <c r="A15" s="1">
        <v>45313</v>
      </c>
      <c r="B15">
        <v>-4.1861963952405379E-4</v>
      </c>
      <c r="C15">
        <v>-4.3456787094875438E-3</v>
      </c>
      <c r="D15">
        <v>-5.4178244116110941E-3</v>
      </c>
      <c r="E15">
        <v>5.7148342028903176E-3</v>
      </c>
      <c r="F15">
        <v>-1.1986580608531971E-2</v>
      </c>
      <c r="G15">
        <v>2.7399446673719297E-3</v>
      </c>
      <c r="H15">
        <v>-4.0414973303877222E-3</v>
      </c>
      <c r="I15">
        <v>-8.4166807131871302E-3</v>
      </c>
      <c r="J15">
        <v>-1.5976244642275872E-2</v>
      </c>
      <c r="K15">
        <v>-6.6198238051462521E-3</v>
      </c>
      <c r="L15" s="11">
        <f t="shared" si="0"/>
        <v>-4.8768170989889397E-3</v>
      </c>
      <c r="M15" s="11">
        <f t="shared" si="1"/>
        <v>-4.8768170989889389E-3</v>
      </c>
    </row>
    <row r="16" spans="1:25">
      <c r="A16" s="1">
        <v>45314</v>
      </c>
      <c r="B16">
        <v>-1.5958650689366971E-2</v>
      </c>
      <c r="C16">
        <v>4.7003468618178612E-3</v>
      </c>
      <c r="D16">
        <v>6.0273942320119289E-3</v>
      </c>
      <c r="E16">
        <v>1.3341317041709155E-2</v>
      </c>
      <c r="F16">
        <v>1.3325401797509961E-2</v>
      </c>
      <c r="G16">
        <v>3.6712344752236614E-3</v>
      </c>
      <c r="H16">
        <v>1.5323143973544839E-2</v>
      </c>
      <c r="I16">
        <v>-1.1819259462897858E-2</v>
      </c>
      <c r="J16">
        <v>1.6283349277861348E-3</v>
      </c>
      <c r="K16">
        <v>7.5872981853064569E-3</v>
      </c>
      <c r="L16" s="11">
        <f t="shared" si="0"/>
        <v>3.7826561342645176E-3</v>
      </c>
      <c r="M16" s="11">
        <f t="shared" si="1"/>
        <v>3.7826561342645172E-3</v>
      </c>
    </row>
    <row r="17" spans="1:13">
      <c r="A17" s="1">
        <v>45315</v>
      </c>
      <c r="B17">
        <v>1.2435011266250573E-2</v>
      </c>
      <c r="C17">
        <v>-1.5705922175902387E-2</v>
      </c>
      <c r="D17">
        <v>9.1753262906060229E-3</v>
      </c>
      <c r="E17">
        <v>0.10703182188681781</v>
      </c>
      <c r="F17">
        <v>-1.1187480328217592E-2</v>
      </c>
      <c r="G17">
        <v>2.4869191293141801E-2</v>
      </c>
      <c r="H17">
        <v>-1.2168838308264762E-2</v>
      </c>
      <c r="I17">
        <v>7.6125840245500065E-4</v>
      </c>
      <c r="J17">
        <v>-6.2637351172281086E-3</v>
      </c>
      <c r="K17">
        <v>0</v>
      </c>
      <c r="L17" s="11">
        <f t="shared" si="0"/>
        <v>1.0894663320965836E-2</v>
      </c>
      <c r="M17" s="11">
        <f t="shared" si="1"/>
        <v>1.0894663320965836E-2</v>
      </c>
    </row>
    <row r="18" spans="1:13">
      <c r="A18" s="1">
        <v>45316</v>
      </c>
      <c r="B18">
        <v>-5.7208236681749125E-2</v>
      </c>
      <c r="C18">
        <v>4.2436791651008221E-3</v>
      </c>
      <c r="D18">
        <v>5.7382367641398702E-3</v>
      </c>
      <c r="E18">
        <v>3.1438701041206718E-2</v>
      </c>
      <c r="F18">
        <v>9.9116236931040547E-5</v>
      </c>
      <c r="G18">
        <v>4.1557297174785734E-3</v>
      </c>
      <c r="H18">
        <v>5.7968844243645457E-3</v>
      </c>
      <c r="I18">
        <v>6.1929097590436299E-3</v>
      </c>
      <c r="J18">
        <v>-0.12125293136804771</v>
      </c>
      <c r="K18">
        <v>-1.0758173918523628E-3</v>
      </c>
      <c r="L18" s="11">
        <f t="shared" si="0"/>
        <v>-1.21871728333384E-2</v>
      </c>
      <c r="M18" s="11">
        <f t="shared" si="1"/>
        <v>-1.21871728333384E-2</v>
      </c>
    </row>
    <row r="19" spans="1:13">
      <c r="A19" s="1">
        <v>45317</v>
      </c>
      <c r="B19">
        <v>1.7782822721720049E-2</v>
      </c>
      <c r="C19">
        <v>3.5497591571937992E-3</v>
      </c>
      <c r="D19">
        <v>-2.3217937356465601E-3</v>
      </c>
      <c r="E19">
        <v>1.4982175996718805E-2</v>
      </c>
      <c r="F19">
        <v>1.9648781517027647E-2</v>
      </c>
      <c r="G19">
        <v>-9.5103590868500509E-3</v>
      </c>
      <c r="H19">
        <v>7.8052310206246922E-3</v>
      </c>
      <c r="I19">
        <v>2.0517120095417951E-3</v>
      </c>
      <c r="J19">
        <v>3.3948152034812829E-3</v>
      </c>
      <c r="K19">
        <v>-4.945673692875685E-3</v>
      </c>
      <c r="L19" s="11">
        <f t="shared" si="0"/>
        <v>5.243747111093577E-3</v>
      </c>
      <c r="M19" s="11">
        <f t="shared" si="1"/>
        <v>5.243747111093577E-3</v>
      </c>
    </row>
    <row r="20" spans="1:13">
      <c r="A20" s="1">
        <v>45320</v>
      </c>
      <c r="B20">
        <v>-1.3627234030930691E-3</v>
      </c>
      <c r="C20">
        <v>6.0636421098194671E-3</v>
      </c>
      <c r="D20">
        <v>1.4334225436981374E-2</v>
      </c>
      <c r="E20">
        <v>9.414107636605662E-3</v>
      </c>
      <c r="F20">
        <v>1.0997583456698434E-2</v>
      </c>
      <c r="G20">
        <v>2.3496175601062541E-2</v>
      </c>
      <c r="H20">
        <v>1.7274199451247085E-3</v>
      </c>
      <c r="I20">
        <v>1.0775740392810595E-2</v>
      </c>
      <c r="J20">
        <v>4.1909919103852555E-2</v>
      </c>
      <c r="K20">
        <v>-1.2185386280792909E-2</v>
      </c>
      <c r="L20" s="11">
        <f t="shared" si="0"/>
        <v>1.0517070399906936E-2</v>
      </c>
      <c r="M20" s="11">
        <f t="shared" si="1"/>
        <v>1.0517070399906936E-2</v>
      </c>
    </row>
    <row r="21" spans="1:13">
      <c r="A21" s="1">
        <v>45321</v>
      </c>
      <c r="B21">
        <v>-2.3149276005084207E-2</v>
      </c>
      <c r="C21">
        <v>2.8462139678482323E-3</v>
      </c>
      <c r="D21">
        <v>-2.7579627775978777E-3</v>
      </c>
      <c r="E21">
        <v>-2.2473476328536246E-2</v>
      </c>
      <c r="F21">
        <v>2.8879586183814254E-3</v>
      </c>
      <c r="G21">
        <v>4.9468643424726011E-3</v>
      </c>
      <c r="H21">
        <v>8.7422688368705703E-3</v>
      </c>
      <c r="I21">
        <v>2.9852880260441417E-3</v>
      </c>
      <c r="J21">
        <v>3.4567835721324158E-3</v>
      </c>
      <c r="K21">
        <v>5.4374183662171394E-3</v>
      </c>
      <c r="L21" s="11">
        <f t="shared" si="0"/>
        <v>-1.707791938125181E-3</v>
      </c>
      <c r="M21" s="11">
        <f t="shared" si="1"/>
        <v>-1.7077919381251806E-3</v>
      </c>
    </row>
    <row r="22" spans="1:13">
      <c r="A22" s="1">
        <v>45322</v>
      </c>
      <c r="B22">
        <v>5.2883609636876994E-2</v>
      </c>
      <c r="C22">
        <v>-6.8446852115964241E-3</v>
      </c>
      <c r="D22">
        <v>-2.6946299569042265E-2</v>
      </c>
      <c r="E22">
        <v>2.2386245363399393E-3</v>
      </c>
      <c r="F22">
        <v>-2.5436714979995889E-2</v>
      </c>
      <c r="G22">
        <v>-1.9864902032451281E-2</v>
      </c>
      <c r="H22">
        <v>-6.4261870507369423E-3</v>
      </c>
      <c r="I22">
        <v>-1.1160835771964361E-2</v>
      </c>
      <c r="J22">
        <v>-2.2443776470325139E-2</v>
      </c>
      <c r="K22">
        <v>-5.9730196351491793E-3</v>
      </c>
      <c r="L22" s="11">
        <f t="shared" si="0"/>
        <v>-6.9974186548044538E-3</v>
      </c>
      <c r="M22" s="11">
        <f t="shared" si="1"/>
        <v>-6.9974186548044546E-3</v>
      </c>
    </row>
    <row r="23" spans="1:13">
      <c r="A23" s="1">
        <v>45323</v>
      </c>
      <c r="B23">
        <v>-5.8282589398651607E-3</v>
      </c>
      <c r="C23">
        <v>2.5046088519723897E-2</v>
      </c>
      <c r="D23">
        <v>1.5594319311505567E-2</v>
      </c>
      <c r="E23">
        <v>6.0272367133229476E-3</v>
      </c>
      <c r="F23">
        <v>2.2653230420714987E-3</v>
      </c>
      <c r="G23">
        <v>2.4379534244399981E-2</v>
      </c>
      <c r="H23">
        <v>1.880971937949294E-2</v>
      </c>
      <c r="I23">
        <v>3.6547160278397328E-3</v>
      </c>
      <c r="J23">
        <v>8.3827613887541563E-3</v>
      </c>
      <c r="K23">
        <v>3.978939981420071E-3</v>
      </c>
      <c r="L23" s="11">
        <f t="shared" si="0"/>
        <v>1.0231037966866563E-2</v>
      </c>
      <c r="M23" s="11">
        <f t="shared" si="1"/>
        <v>1.0231037966866563E-2</v>
      </c>
    </row>
    <row r="24" spans="1:13">
      <c r="A24" s="1">
        <v>45324</v>
      </c>
      <c r="B24">
        <v>-2.0494384480460592E-3</v>
      </c>
      <c r="C24">
        <v>-7.2154347515264172E-3</v>
      </c>
      <c r="D24">
        <v>1.8425905818580723E-2</v>
      </c>
      <c r="E24">
        <v>-5.0571709182243296E-3</v>
      </c>
      <c r="F24">
        <v>-1.0318435236512991E-2</v>
      </c>
      <c r="G24">
        <v>4.970892473969224E-2</v>
      </c>
      <c r="H24">
        <v>-4.2516205023684916E-3</v>
      </c>
      <c r="I24">
        <v>-4.0698535669360103E-3</v>
      </c>
      <c r="J24">
        <v>-5.0301649114254943E-3</v>
      </c>
      <c r="K24">
        <v>1.2819417224385843E-2</v>
      </c>
      <c r="L24" s="11">
        <f t="shared" si="0"/>
        <v>4.2962129447619013E-3</v>
      </c>
      <c r="M24" s="11">
        <f t="shared" si="1"/>
        <v>4.2962129447619013E-3</v>
      </c>
    </row>
    <row r="25" spans="1:13">
      <c r="A25" s="1">
        <v>45327</v>
      </c>
      <c r="B25">
        <v>-1.3134014403806793E-2</v>
      </c>
      <c r="C25">
        <v>-8.2590394203201356E-3</v>
      </c>
      <c r="D25">
        <v>-1.3545120668059574E-2</v>
      </c>
      <c r="E25">
        <v>-4.5693132312815132E-3</v>
      </c>
      <c r="F25">
        <v>-1.0227372658151768E-2</v>
      </c>
      <c r="G25">
        <v>4.7944321249968169E-2</v>
      </c>
      <c r="H25">
        <v>-2.9243611590989982E-4</v>
      </c>
      <c r="I25">
        <v>-5.1617635865065514E-3</v>
      </c>
      <c r="J25">
        <v>-3.645365318513516E-2</v>
      </c>
      <c r="K25">
        <v>3.9953978475226748E-5</v>
      </c>
      <c r="L25" s="11">
        <f t="shared" si="0"/>
        <v>-4.3658438040727991E-3</v>
      </c>
      <c r="M25" s="11">
        <f t="shared" si="1"/>
        <v>-4.3658438040728E-3</v>
      </c>
    </row>
    <row r="26" spans="1:13">
      <c r="A26" s="1">
        <v>45328</v>
      </c>
      <c r="B26">
        <v>9.4371432132904776E-3</v>
      </c>
      <c r="C26">
        <v>-1.6654974129047817E-3</v>
      </c>
      <c r="D26">
        <v>-3.9442608379869348E-4</v>
      </c>
      <c r="E26">
        <v>-1.0995254425906098E-2</v>
      </c>
      <c r="F26">
        <v>2.9393989111885288E-2</v>
      </c>
      <c r="G26">
        <v>-1.5995478366019888E-2</v>
      </c>
      <c r="H26">
        <v>2.9254045335893597E-3</v>
      </c>
      <c r="I26">
        <v>3.4158360955253819E-2</v>
      </c>
      <c r="J26">
        <v>2.2313092894053588E-2</v>
      </c>
      <c r="K26">
        <v>7.1827869255705501E-2</v>
      </c>
      <c r="L26" s="11">
        <f t="shared" si="0"/>
        <v>1.4100520367514857E-2</v>
      </c>
      <c r="M26" s="11">
        <f t="shared" si="1"/>
        <v>1.4100520367514857E-2</v>
      </c>
    </row>
    <row r="27" spans="1:13">
      <c r="A27" s="1">
        <v>45329</v>
      </c>
      <c r="B27">
        <v>1.6013022862068738E-2</v>
      </c>
      <c r="C27">
        <v>8.3420450047166916E-4</v>
      </c>
      <c r="D27">
        <v>2.1110197981224044E-2</v>
      </c>
      <c r="E27">
        <v>6.1523761965083246E-3</v>
      </c>
      <c r="F27">
        <v>1.15000004208341E-2</v>
      </c>
      <c r="G27">
        <v>2.7497978328395511E-2</v>
      </c>
      <c r="H27">
        <v>2.9166841171401892E-4</v>
      </c>
      <c r="I27">
        <v>-3.7628962751981021E-3</v>
      </c>
      <c r="J27">
        <v>1.3398139631352057E-2</v>
      </c>
      <c r="K27">
        <v>1.2441630477888488E-2</v>
      </c>
      <c r="L27" s="11">
        <f t="shared" si="0"/>
        <v>1.0547632253525886E-2</v>
      </c>
      <c r="M27" s="11">
        <f t="shared" si="1"/>
        <v>1.0547632253525886E-2</v>
      </c>
    </row>
    <row r="28" spans="1:13">
      <c r="A28" s="1">
        <v>45330</v>
      </c>
      <c r="B28">
        <v>-1.2740642561206106E-2</v>
      </c>
      <c r="C28">
        <v>-2.6671363092347633E-3</v>
      </c>
      <c r="D28">
        <v>1.44909084457856E-4</v>
      </c>
      <c r="E28">
        <v>-1.3766467242941616E-3</v>
      </c>
      <c r="F28">
        <v>-1.9282358865502225E-4</v>
      </c>
      <c r="G28">
        <v>-6.5336959813161455E-3</v>
      </c>
      <c r="H28">
        <v>1.3880042621934763E-2</v>
      </c>
      <c r="I28">
        <v>1.9526983984418544E-2</v>
      </c>
      <c r="J28">
        <v>1.0555473441792085E-2</v>
      </c>
      <c r="K28">
        <v>-6.181243371948808E-3</v>
      </c>
      <c r="L28" s="11">
        <f t="shared" si="0"/>
        <v>1.4415220595948241E-3</v>
      </c>
      <c r="M28" s="11">
        <f t="shared" si="1"/>
        <v>1.4415220595948241E-3</v>
      </c>
    </row>
    <row r="29" spans="1:13">
      <c r="A29" s="1">
        <v>45331</v>
      </c>
      <c r="B29">
        <v>-9.5613575873731982E-5</v>
      </c>
      <c r="C29">
        <v>-4.5128663487465914E-3</v>
      </c>
      <c r="D29">
        <v>1.5551470599195261E-2</v>
      </c>
      <c r="E29">
        <v>4.9952158004022973E-3</v>
      </c>
      <c r="F29">
        <v>7.0348408403053675E-3</v>
      </c>
      <c r="G29">
        <v>3.578372638789995E-2</v>
      </c>
      <c r="H29">
        <v>-3.5547908618860258E-2</v>
      </c>
      <c r="I29">
        <v>7.350801751774938E-3</v>
      </c>
      <c r="J29">
        <v>2.1154303741671487E-2</v>
      </c>
      <c r="K29">
        <v>6.4788952122616372E-3</v>
      </c>
      <c r="L29" s="11">
        <f t="shared" si="0"/>
        <v>5.8192865790030364E-3</v>
      </c>
      <c r="M29" s="11">
        <f t="shared" si="1"/>
        <v>5.8192865790030355E-3</v>
      </c>
    </row>
    <row r="30" spans="1:13">
      <c r="A30" s="1">
        <v>45334</v>
      </c>
      <c r="B30">
        <v>6.2143826342486719E-4</v>
      </c>
      <c r="C30">
        <v>2.3506350960267319E-3</v>
      </c>
      <c r="D30">
        <v>-1.2578756207840769E-2</v>
      </c>
      <c r="E30">
        <v>-6.1819135127970659E-3</v>
      </c>
      <c r="F30">
        <v>2.5645980552926995E-2</v>
      </c>
      <c r="G30">
        <v>1.5942162098327994E-3</v>
      </c>
      <c r="H30">
        <v>1.7534398368367343E-2</v>
      </c>
      <c r="I30">
        <v>-1.8807787450447089E-2</v>
      </c>
      <c r="J30">
        <v>-2.8103539988477366E-2</v>
      </c>
      <c r="K30">
        <v>1.2507675840192078E-3</v>
      </c>
      <c r="L30" s="11">
        <f t="shared" si="0"/>
        <v>-1.667456108496435E-3</v>
      </c>
      <c r="M30" s="11">
        <f t="shared" si="1"/>
        <v>-1.6674561084964346E-3</v>
      </c>
    </row>
    <row r="31" spans="1:13">
      <c r="A31" s="1">
        <v>45335</v>
      </c>
      <c r="B31">
        <v>-2.3264678137811745E-2</v>
      </c>
      <c r="C31">
        <v>-5.8626394042852192E-3</v>
      </c>
      <c r="D31">
        <v>-2.1528612741315567E-2</v>
      </c>
      <c r="E31">
        <v>-5.9692680835728984E-3</v>
      </c>
      <c r="F31">
        <v>-2.0339594412411399E-2</v>
      </c>
      <c r="G31">
        <v>-1.6608775594839642E-3</v>
      </c>
      <c r="H31">
        <v>-1.01399406513214E-2</v>
      </c>
      <c r="I31">
        <v>-1.6759161961024338E-2</v>
      </c>
      <c r="J31">
        <v>-2.1846598116617044E-2</v>
      </c>
      <c r="K31">
        <v>-4.9228408627758347E-3</v>
      </c>
      <c r="L31" s="11">
        <f t="shared" si="0"/>
        <v>-1.3229421193061943E-2</v>
      </c>
      <c r="M31" s="11">
        <f t="shared" si="1"/>
        <v>-1.3229421193061941E-2</v>
      </c>
    </row>
    <row r="32" spans="1:13">
      <c r="A32" s="1">
        <v>45336</v>
      </c>
      <c r="B32">
        <v>-5.2822155707272778E-3</v>
      </c>
      <c r="C32">
        <v>-1.0109027368834234E-3</v>
      </c>
      <c r="D32">
        <v>9.6653544862159713E-3</v>
      </c>
      <c r="E32">
        <v>4.4741391987191959E-2</v>
      </c>
      <c r="F32">
        <v>1.2666514624123826E-2</v>
      </c>
      <c r="G32">
        <v>2.4567404220022571E-2</v>
      </c>
      <c r="H32">
        <v>-8.0532134631802199E-3</v>
      </c>
      <c r="I32">
        <v>2.1305813715637445E-3</v>
      </c>
      <c r="J32">
        <v>2.5486372853589234E-2</v>
      </c>
      <c r="K32">
        <v>1.5875195759546434E-2</v>
      </c>
      <c r="L32" s="11">
        <f t="shared" si="0"/>
        <v>1.2078648353146282E-2</v>
      </c>
      <c r="M32" s="11">
        <f t="shared" si="1"/>
        <v>1.2078648353146282E-2</v>
      </c>
    </row>
    <row r="33" spans="1:13">
      <c r="A33" s="1">
        <v>45337</v>
      </c>
      <c r="B33">
        <v>9.5879481828393676E-3</v>
      </c>
      <c r="C33">
        <v>1.8552755884742034E-3</v>
      </c>
      <c r="D33">
        <v>-7.1551528468142278E-3</v>
      </c>
      <c r="E33">
        <v>2.4390251611322578E-2</v>
      </c>
      <c r="F33">
        <v>-2.633124723789515E-3</v>
      </c>
      <c r="G33">
        <v>-1.6806699254578783E-2</v>
      </c>
      <c r="H33">
        <v>2.0297684025771812E-3</v>
      </c>
      <c r="I33">
        <v>-9.0358032490962525E-3</v>
      </c>
      <c r="J33">
        <v>6.2211805504176931E-2</v>
      </c>
      <c r="K33">
        <v>8.286145031085157E-3</v>
      </c>
      <c r="L33" s="11">
        <f t="shared" si="0"/>
        <v>7.273041424619665E-3</v>
      </c>
      <c r="M33" s="11">
        <f t="shared" si="1"/>
        <v>7.2730414246196641E-3</v>
      </c>
    </row>
    <row r="34" spans="1:13">
      <c r="A34" s="1">
        <v>45338</v>
      </c>
      <c r="B34">
        <v>-7.0131126896439966E-3</v>
      </c>
      <c r="C34">
        <v>-1.6839791541134463E-4</v>
      </c>
      <c r="D34">
        <v>-6.1492043035263899E-3</v>
      </c>
      <c r="E34">
        <v>-1.6024684753008001E-2</v>
      </c>
      <c r="F34">
        <v>-2.3951030507104343E-2</v>
      </c>
      <c r="G34">
        <v>-6.1917019847901322E-4</v>
      </c>
      <c r="H34">
        <v>-9.1743470388021553E-3</v>
      </c>
      <c r="I34">
        <v>0</v>
      </c>
      <c r="J34">
        <v>-2.4943876658132247E-3</v>
      </c>
      <c r="K34">
        <v>-4.68537111320666E-4</v>
      </c>
      <c r="L34" s="11">
        <f t="shared" si="0"/>
        <v>-6.6062872183109134E-3</v>
      </c>
      <c r="M34" s="11">
        <f t="shared" si="1"/>
        <v>-6.6062872183109134E-3</v>
      </c>
    </row>
    <row r="35" spans="1:13">
      <c r="A35" s="1">
        <v>45342</v>
      </c>
      <c r="B35">
        <v>-2.5504157831068852E-3</v>
      </c>
      <c r="C35">
        <v>2.2057596951888137E-2</v>
      </c>
      <c r="D35">
        <v>-3.1431457578661171E-3</v>
      </c>
      <c r="E35">
        <v>-1.5104045106333452E-2</v>
      </c>
      <c r="F35">
        <v>-2.0288729833592978E-3</v>
      </c>
      <c r="G35">
        <v>-4.3532116832669665E-2</v>
      </c>
      <c r="H35">
        <v>1.400911975618846E-2</v>
      </c>
      <c r="I35">
        <v>2.5745417787250702E-3</v>
      </c>
      <c r="J35">
        <v>-3.0957752117442117E-2</v>
      </c>
      <c r="K35">
        <v>-6.0221177427718375E-3</v>
      </c>
      <c r="L35" s="11">
        <f t="shared" si="0"/>
        <v>-6.4697207836747709E-3</v>
      </c>
      <c r="M35" s="11">
        <f t="shared" si="1"/>
        <v>-6.4697207836747709E-3</v>
      </c>
    </row>
    <row r="36" spans="1:13">
      <c r="A36" s="1">
        <v>45343</v>
      </c>
      <c r="B36">
        <v>-8.8508031478871096E-3</v>
      </c>
      <c r="C36">
        <v>8.8961717741140589E-3</v>
      </c>
      <c r="D36">
        <v>-1.5144613042576971E-3</v>
      </c>
      <c r="E36">
        <v>-3.0950033588278414E-3</v>
      </c>
      <c r="F36">
        <v>1.9070716062399518E-2</v>
      </c>
      <c r="G36">
        <v>-2.8508882794066714E-2</v>
      </c>
      <c r="H36">
        <v>1.0673663592148941E-3</v>
      </c>
      <c r="I36">
        <v>1.6691590623938435E-2</v>
      </c>
      <c r="J36">
        <v>5.212684735028672E-3</v>
      </c>
      <c r="K36">
        <v>-2.3217938128933246E-3</v>
      </c>
      <c r="L36" s="11">
        <f t="shared" si="0"/>
        <v>6.6475851367628889E-4</v>
      </c>
      <c r="M36" s="11">
        <f t="shared" si="1"/>
        <v>6.64758513676289E-4</v>
      </c>
    </row>
    <row r="37" spans="1:13">
      <c r="A37" s="1">
        <v>45344</v>
      </c>
      <c r="B37">
        <v>-3.4731022311973447E-4</v>
      </c>
      <c r="C37">
        <v>-1.4695887287716758E-3</v>
      </c>
      <c r="D37">
        <v>2.3546714373203104E-2</v>
      </c>
      <c r="E37">
        <v>2.6371319021573303E-2</v>
      </c>
      <c r="F37">
        <v>-1.8048398257723974E-3</v>
      </c>
      <c r="G37">
        <v>0.16400869390414163</v>
      </c>
      <c r="H37">
        <v>-3.4353708491964285E-3</v>
      </c>
      <c r="I37">
        <v>7.9983728131773901E-3</v>
      </c>
      <c r="J37">
        <v>1.3554445406059434E-2</v>
      </c>
      <c r="K37">
        <v>8.6543842250521585E-3</v>
      </c>
      <c r="L37" s="11">
        <f t="shared" si="0"/>
        <v>2.3707682011634677E-2</v>
      </c>
      <c r="M37" s="11">
        <f t="shared" si="1"/>
        <v>2.370768201163468E-2</v>
      </c>
    </row>
    <row r="38" spans="1:13">
      <c r="A38" s="1">
        <v>45345</v>
      </c>
      <c r="B38">
        <v>-3.3250529476227531E-3</v>
      </c>
      <c r="C38">
        <v>8.1763252987832047E-4</v>
      </c>
      <c r="D38">
        <v>-3.1823321481244671E-3</v>
      </c>
      <c r="E38">
        <v>-8.3436256546199905E-3</v>
      </c>
      <c r="F38">
        <v>5.2340772192018825E-3</v>
      </c>
      <c r="G38">
        <v>3.5523405582016387E-3</v>
      </c>
      <c r="H38">
        <v>8.0237058917680404E-3</v>
      </c>
      <c r="I38">
        <v>-1.6703767412752368E-3</v>
      </c>
      <c r="J38">
        <v>-2.7556873210524913E-2</v>
      </c>
      <c r="K38">
        <v>6.8508827779645287E-4</v>
      </c>
      <c r="L38" s="11">
        <f t="shared" si="0"/>
        <v>-2.576541622532103E-3</v>
      </c>
      <c r="M38" s="11">
        <f t="shared" si="1"/>
        <v>-2.5765416225321026E-3</v>
      </c>
    </row>
    <row r="39" spans="1:13">
      <c r="A39" s="1">
        <v>45348</v>
      </c>
      <c r="B39">
        <v>-1.4440499042865929E-3</v>
      </c>
      <c r="C39">
        <v>-8.0065263320202584E-3</v>
      </c>
      <c r="D39">
        <v>-6.8235071536953962E-3</v>
      </c>
      <c r="E39">
        <v>7.0087512382279726E-3</v>
      </c>
      <c r="F39">
        <v>-1.0319027716560569E-2</v>
      </c>
      <c r="G39">
        <v>3.4892146177847305E-3</v>
      </c>
      <c r="H39">
        <v>-7.9009356460906233E-3</v>
      </c>
      <c r="I39">
        <v>-1.4013986053168059E-2</v>
      </c>
      <c r="J39">
        <v>3.8703925762020086E-2</v>
      </c>
      <c r="K39">
        <v>-9.1868850462133445E-3</v>
      </c>
      <c r="L39" s="11">
        <f t="shared" si="0"/>
        <v>-8.4930262340020594E-4</v>
      </c>
      <c r="M39" s="11">
        <f t="shared" si="1"/>
        <v>-8.493026234002055E-4</v>
      </c>
    </row>
    <row r="40" spans="1:13">
      <c r="A40" s="1">
        <v>45349</v>
      </c>
      <c r="B40">
        <v>4.2884244497054524E-3</v>
      </c>
      <c r="C40">
        <v>-6.094634322597714E-3</v>
      </c>
      <c r="D40">
        <v>-1.472544416917243E-4</v>
      </c>
      <c r="E40">
        <v>2.3857666831671009E-2</v>
      </c>
      <c r="F40">
        <v>5.835059036671808E-3</v>
      </c>
      <c r="G40">
        <v>-4.9437683504638397E-3</v>
      </c>
      <c r="H40">
        <v>-5.9438753838292335E-4</v>
      </c>
      <c r="I40">
        <v>-1.5910706830155608E-3</v>
      </c>
      <c r="J40">
        <v>1.6549741281652874E-3</v>
      </c>
      <c r="K40">
        <v>1.4542512555260068E-4</v>
      </c>
      <c r="L40" s="11">
        <f t="shared" si="0"/>
        <v>2.2410434235614397E-3</v>
      </c>
      <c r="M40" s="11">
        <f t="shared" si="1"/>
        <v>2.2410434235614397E-3</v>
      </c>
    </row>
    <row r="41" spans="1:13">
      <c r="A41" s="1">
        <v>45350</v>
      </c>
      <c r="B41">
        <v>2.7805393610857321E-2</v>
      </c>
      <c r="C41">
        <v>9.9458132634144825E-4</v>
      </c>
      <c r="D41">
        <v>5.889533074949771E-4</v>
      </c>
      <c r="E41">
        <v>-8.6259952944686136E-3</v>
      </c>
      <c r="F41">
        <v>-7.6082575437049771E-3</v>
      </c>
      <c r="G41">
        <v>-1.3189139113644943E-2</v>
      </c>
      <c r="H41">
        <v>-6.7198001777040162E-3</v>
      </c>
      <c r="I41">
        <v>-1.2004653507620255E-2</v>
      </c>
      <c r="J41">
        <v>1.1565601602195885E-2</v>
      </c>
      <c r="K41">
        <v>4.3621194047771539E-4</v>
      </c>
      <c r="L41" s="11">
        <f t="shared" si="0"/>
        <v>-6.7571038497754566E-4</v>
      </c>
      <c r="M41" s="11">
        <f t="shared" si="1"/>
        <v>-6.7571038497754587E-4</v>
      </c>
    </row>
    <row r="42" spans="1:13">
      <c r="A42" s="1">
        <v>45351</v>
      </c>
      <c r="B42">
        <v>-1.5845404730903345E-2</v>
      </c>
      <c r="C42">
        <v>-6.2915237995500028E-3</v>
      </c>
      <c r="D42">
        <v>1.4519769891826906E-2</v>
      </c>
      <c r="E42">
        <v>1.079667826629338E-2</v>
      </c>
      <c r="F42">
        <v>-4.0249317942104845E-3</v>
      </c>
      <c r="G42">
        <v>1.8657746167142442E-2</v>
      </c>
      <c r="H42">
        <v>-2.563908772390544E-3</v>
      </c>
      <c r="I42">
        <v>2.0430126292645179E-2</v>
      </c>
      <c r="J42">
        <v>-7.9186501997863257E-4</v>
      </c>
      <c r="K42">
        <v>-9.3392898503359412E-3</v>
      </c>
      <c r="L42" s="11">
        <f t="shared" si="0"/>
        <v>2.5547396650538955E-3</v>
      </c>
      <c r="M42" s="11">
        <f t="shared" si="1"/>
        <v>2.5547396650538955E-3</v>
      </c>
    </row>
    <row r="43" spans="1:13">
      <c r="A43" s="1">
        <v>45352</v>
      </c>
      <c r="B43">
        <v>-1.8260363235875321E-2</v>
      </c>
      <c r="C43">
        <v>-8.1639355090494803E-3</v>
      </c>
      <c r="D43">
        <v>4.4966752710937641E-3</v>
      </c>
      <c r="E43">
        <v>2.7234200906820494E-2</v>
      </c>
      <c r="F43">
        <v>-1.6222430088128292E-2</v>
      </c>
      <c r="G43">
        <v>4.0031618686284798E-2</v>
      </c>
      <c r="H43">
        <v>-4.5361638903469448E-3</v>
      </c>
      <c r="I43">
        <v>-1.8334977604945735E-2</v>
      </c>
      <c r="J43">
        <v>3.7645853400745111E-3</v>
      </c>
      <c r="K43">
        <v>-5.2457929522513602E-3</v>
      </c>
      <c r="L43" s="11">
        <f t="shared" si="0"/>
        <v>4.7634169236764339E-4</v>
      </c>
      <c r="M43" s="11">
        <f t="shared" si="1"/>
        <v>4.7634169236764333E-4</v>
      </c>
    </row>
    <row r="44" spans="1:13">
      <c r="A44" s="1">
        <v>45355</v>
      </c>
      <c r="B44">
        <v>2.6999664306599502E-3</v>
      </c>
      <c r="C44">
        <v>4.7036391129779975E-3</v>
      </c>
      <c r="D44">
        <v>-1.3958435359212595E-3</v>
      </c>
      <c r="E44">
        <v>-5.6673388016694748E-3</v>
      </c>
      <c r="F44">
        <v>-2.2968222436569929E-2</v>
      </c>
      <c r="G44">
        <v>3.5950898334133452E-2</v>
      </c>
      <c r="H44">
        <v>4.7390923208838753E-3</v>
      </c>
      <c r="I44">
        <v>-7.5140360647677484E-3</v>
      </c>
      <c r="J44">
        <v>-7.1555468040238934E-2</v>
      </c>
      <c r="K44">
        <v>3.3559296589786847E-3</v>
      </c>
      <c r="L44" s="11">
        <f t="shared" si="0"/>
        <v>-5.7651383021533392E-3</v>
      </c>
      <c r="M44" s="11">
        <f t="shared" si="1"/>
        <v>-5.7651383021533383E-3</v>
      </c>
    </row>
    <row r="45" spans="1:13">
      <c r="A45" s="1">
        <v>45356</v>
      </c>
      <c r="B45">
        <v>2.9919523466819253E-3</v>
      </c>
      <c r="C45">
        <v>-4.8488619971498448E-3</v>
      </c>
      <c r="D45">
        <v>-2.9572051056849125E-2</v>
      </c>
      <c r="E45">
        <v>-2.8140910005876929E-2</v>
      </c>
      <c r="F45">
        <v>-1.2356832824753861E-2</v>
      </c>
      <c r="G45">
        <v>8.5765348456652291E-3</v>
      </c>
      <c r="H45">
        <v>-2.0136744570876663E-2</v>
      </c>
      <c r="I45">
        <v>-1.3411237120860342E-2</v>
      </c>
      <c r="J45">
        <v>-3.9332379719839494E-2</v>
      </c>
      <c r="K45">
        <v>-1.3230344361285784E-3</v>
      </c>
      <c r="L45" s="11">
        <f t="shared" si="0"/>
        <v>-1.3755356453998769E-2</v>
      </c>
      <c r="M45" s="11">
        <f t="shared" si="1"/>
        <v>-1.3755356453998769E-2</v>
      </c>
    </row>
    <row r="46" spans="1:13">
      <c r="A46" s="1">
        <v>45357</v>
      </c>
      <c r="B46">
        <v>-6.9602958174819207E-4</v>
      </c>
      <c r="C46">
        <v>5.0410825106528279E-4</v>
      </c>
      <c r="D46">
        <v>-1.3908875176832369E-3</v>
      </c>
      <c r="E46">
        <v>-1.3533793794385796E-3</v>
      </c>
      <c r="F46">
        <v>-6.9168608729585079E-3</v>
      </c>
      <c r="G46">
        <v>3.1827250135177509E-2</v>
      </c>
      <c r="H46">
        <v>5.92452562186363E-3</v>
      </c>
      <c r="I46">
        <v>4.7140314340157197E-3</v>
      </c>
      <c r="J46">
        <v>-2.3237866987842248E-2</v>
      </c>
      <c r="K46">
        <v>1.1555520179105327E-2</v>
      </c>
      <c r="L46" s="11">
        <f t="shared" si="0"/>
        <v>2.0930411281556704E-3</v>
      </c>
      <c r="M46" s="11">
        <f t="shared" si="1"/>
        <v>2.0930411281556704E-3</v>
      </c>
    </row>
    <row r="47" spans="1:13">
      <c r="A47" s="1">
        <v>45358</v>
      </c>
      <c r="B47">
        <v>1.0099496414407882E-2</v>
      </c>
      <c r="C47">
        <v>-1.8471753721551742E-3</v>
      </c>
      <c r="D47">
        <v>1.7533625199042335E-2</v>
      </c>
      <c r="E47">
        <v>1.8103042179093087E-2</v>
      </c>
      <c r="F47">
        <v>5.7359505871648064E-3</v>
      </c>
      <c r="G47">
        <v>4.4746357170268869E-2</v>
      </c>
      <c r="H47">
        <v>6.7492806520230708E-4</v>
      </c>
      <c r="I47">
        <v>-7.6378349558477998E-3</v>
      </c>
      <c r="J47">
        <v>1.1951969472051349E-2</v>
      </c>
      <c r="K47">
        <v>-1.8553800708394075E-3</v>
      </c>
      <c r="L47" s="11">
        <f t="shared" si="0"/>
        <v>9.7504978688388276E-3</v>
      </c>
      <c r="M47" s="11">
        <f t="shared" si="1"/>
        <v>9.7504978688388259E-3</v>
      </c>
    </row>
    <row r="48" spans="1:13">
      <c r="A48" s="1">
        <v>45359</v>
      </c>
      <c r="B48">
        <v>-2.2361194470907675E-2</v>
      </c>
      <c r="C48">
        <v>1.3458070598331151E-3</v>
      </c>
      <c r="D48">
        <v>-7.1369517060043686E-3</v>
      </c>
      <c r="E48">
        <v>-6.0639962896062993E-3</v>
      </c>
      <c r="F48">
        <v>9.8787588041435725E-3</v>
      </c>
      <c r="G48">
        <v>-5.5477018531021827E-2</v>
      </c>
      <c r="H48">
        <v>-3.6782320876338481E-4</v>
      </c>
      <c r="I48">
        <v>1.2094243794871229E-3</v>
      </c>
      <c r="J48">
        <v>-1.8527834714127889E-2</v>
      </c>
      <c r="K48">
        <v>-2.3692111513400338E-3</v>
      </c>
      <c r="L48" s="11">
        <f t="shared" si="0"/>
        <v>-9.9870039828307677E-3</v>
      </c>
      <c r="M48" s="11">
        <f t="shared" si="1"/>
        <v>-9.9870039828307659E-3</v>
      </c>
    </row>
    <row r="49" spans="1:13">
      <c r="A49" s="1">
        <v>45362</v>
      </c>
      <c r="B49">
        <v>-3.0228222247727476E-2</v>
      </c>
      <c r="C49">
        <v>1.2096855793143568E-2</v>
      </c>
      <c r="D49">
        <v>-4.1849828711701953E-3</v>
      </c>
      <c r="E49">
        <v>-6.4316897611352841E-3</v>
      </c>
      <c r="F49">
        <v>1.9362744189176606E-2</v>
      </c>
      <c r="G49">
        <v>-2.0039318428256681E-2</v>
      </c>
      <c r="H49">
        <v>1.0303523770129663E-2</v>
      </c>
      <c r="I49">
        <v>1.1091615300892421E-2</v>
      </c>
      <c r="J49">
        <v>1.3858834181148527E-2</v>
      </c>
      <c r="K49">
        <v>-6.3568943749611195E-3</v>
      </c>
      <c r="L49" s="11">
        <f t="shared" si="0"/>
        <v>-5.2753444875996611E-5</v>
      </c>
      <c r="M49" s="11">
        <f t="shared" si="1"/>
        <v>-5.2753444875996977E-5</v>
      </c>
    </row>
    <row r="50" spans="1:13">
      <c r="A50" s="1">
        <v>45363</v>
      </c>
      <c r="B50">
        <v>-4.2859368094791739E-2</v>
      </c>
      <c r="C50">
        <v>4.3160352936466584E-3</v>
      </c>
      <c r="D50">
        <v>2.6599347959180175E-2</v>
      </c>
      <c r="E50">
        <v>1.6890527245722264E-2</v>
      </c>
      <c r="F50">
        <v>-8.9038295236187892E-3</v>
      </c>
      <c r="G50">
        <v>7.1571910401903471E-2</v>
      </c>
      <c r="H50">
        <v>-1.1533833416611516E-3</v>
      </c>
      <c r="I50">
        <v>3.5842220293933469E-3</v>
      </c>
      <c r="J50">
        <v>-1.293868373741458E-3</v>
      </c>
      <c r="K50">
        <v>1.1067361230926664E-2</v>
      </c>
      <c r="L50" s="11">
        <f t="shared" si="0"/>
        <v>7.9818954826959432E-3</v>
      </c>
      <c r="M50" s="11">
        <f t="shared" si="1"/>
        <v>7.981895482695945E-3</v>
      </c>
    </row>
    <row r="51" spans="1:13">
      <c r="A51" s="1">
        <v>45364</v>
      </c>
      <c r="B51">
        <v>-1.0258355043954559E-2</v>
      </c>
      <c r="C51">
        <v>1.0247874346113628E-2</v>
      </c>
      <c r="D51">
        <v>-4.3338140686866033E-4</v>
      </c>
      <c r="E51">
        <v>-2.667416438479786E-3</v>
      </c>
      <c r="F51">
        <v>1.177871497146632E-2</v>
      </c>
      <c r="G51">
        <v>-1.1151903918378836E-2</v>
      </c>
      <c r="H51">
        <v>4.6190544277699974E-3</v>
      </c>
      <c r="I51">
        <v>-8.5497867243135017E-3</v>
      </c>
      <c r="J51">
        <v>-4.5398208084885483E-2</v>
      </c>
      <c r="K51">
        <v>-2.9100553317396027E-4</v>
      </c>
      <c r="L51" s="11">
        <f t="shared" si="0"/>
        <v>-5.2104413404704848E-3</v>
      </c>
      <c r="M51" s="11">
        <f t="shared" si="1"/>
        <v>-5.210441340470484E-3</v>
      </c>
    </row>
    <row r="52" spans="1:13">
      <c r="A52" s="1">
        <v>45365</v>
      </c>
      <c r="B52">
        <v>-6.5808180250336301E-3</v>
      </c>
      <c r="C52">
        <v>-2.2262973106934592E-3</v>
      </c>
      <c r="D52">
        <v>2.4379701623866046E-2</v>
      </c>
      <c r="E52">
        <v>5.8413282259228705E-3</v>
      </c>
      <c r="F52">
        <v>-1.0852379908551146E-2</v>
      </c>
      <c r="G52">
        <v>-3.2391562337401703E-2</v>
      </c>
      <c r="H52">
        <v>-3.1459203704632399E-3</v>
      </c>
      <c r="I52">
        <v>5.4587162117836208E-4</v>
      </c>
      <c r="J52">
        <v>-4.1184776395441047E-2</v>
      </c>
      <c r="K52">
        <v>-3.2740021709106726E-3</v>
      </c>
      <c r="L52" s="11">
        <f t="shared" si="0"/>
        <v>-6.888885504752763E-3</v>
      </c>
      <c r="M52" s="11">
        <f t="shared" si="1"/>
        <v>-6.8888855047527621E-3</v>
      </c>
    </row>
    <row r="53" spans="1:13">
      <c r="A53" s="1">
        <v>45366</v>
      </c>
      <c r="B53">
        <v>7.6180233469982372E-3</v>
      </c>
      <c r="C53">
        <v>-1.0247977967397071E-2</v>
      </c>
      <c r="D53">
        <v>-2.0695156845422336E-2</v>
      </c>
      <c r="E53">
        <v>-1.1631139409190028E-2</v>
      </c>
      <c r="F53">
        <v>-6.1839088836939116E-3</v>
      </c>
      <c r="G53">
        <v>-1.2166726593371147E-3</v>
      </c>
      <c r="H53">
        <v>-7.2819086261366461E-4</v>
      </c>
      <c r="I53">
        <v>-1.6801214892385841E-2</v>
      </c>
      <c r="J53">
        <v>6.5846604567261213E-3</v>
      </c>
      <c r="K53">
        <v>-7.4816050461997685E-3</v>
      </c>
      <c r="L53" s="11">
        <f t="shared" si="0"/>
        <v>-6.0783182762515374E-3</v>
      </c>
      <c r="M53" s="11">
        <f t="shared" si="1"/>
        <v>-6.0783182762515374E-3</v>
      </c>
    </row>
    <row r="54" spans="1:13">
      <c r="A54" s="1">
        <v>45369</v>
      </c>
      <c r="B54">
        <v>-1.4737316930892974E-2</v>
      </c>
      <c r="C54">
        <v>4.1751094491870866E-3</v>
      </c>
      <c r="D54">
        <v>2.1611965747834194E-3</v>
      </c>
      <c r="E54">
        <v>2.0647668952278098E-2</v>
      </c>
      <c r="F54">
        <v>-9.0325867211553668E-3</v>
      </c>
      <c r="G54">
        <v>7.0357365365625313E-3</v>
      </c>
      <c r="H54">
        <v>4.0082587147220572E-2</v>
      </c>
      <c r="I54">
        <v>9.875710822121464E-3</v>
      </c>
      <c r="J54">
        <v>6.2542002014230658E-2</v>
      </c>
      <c r="K54">
        <v>6.8760294389558219E-3</v>
      </c>
      <c r="L54" s="11">
        <f t="shared" si="0"/>
        <v>1.2962613728329131E-2</v>
      </c>
      <c r="M54" s="11">
        <f t="shared" si="1"/>
        <v>1.2962613728329131E-2</v>
      </c>
    </row>
    <row r="55" spans="1:13">
      <c r="A55" s="1">
        <v>45370</v>
      </c>
      <c r="B55">
        <v>7.2286648033261791E-3</v>
      </c>
      <c r="C55">
        <v>1.6629685488906976E-3</v>
      </c>
      <c r="D55">
        <v>9.8006372532897235E-3</v>
      </c>
      <c r="E55">
        <v>3.8001512480339006E-3</v>
      </c>
      <c r="F55">
        <v>1.2355689708668294E-2</v>
      </c>
      <c r="G55">
        <v>1.066089930764047E-2</v>
      </c>
      <c r="H55">
        <v>3.1531507634969813E-3</v>
      </c>
      <c r="I55">
        <v>6.372799737930368E-3</v>
      </c>
      <c r="J55">
        <v>-1.4269250195585115E-2</v>
      </c>
      <c r="K55">
        <v>-3.2136010819761029E-3</v>
      </c>
      <c r="L55" s="11">
        <f t="shared" si="0"/>
        <v>3.7552110093715396E-3</v>
      </c>
      <c r="M55" s="11">
        <f t="shared" si="1"/>
        <v>3.7552110093715396E-3</v>
      </c>
    </row>
    <row r="56" spans="1:13">
      <c r="A56" s="1">
        <v>45371</v>
      </c>
      <c r="B56">
        <v>3.665672635542383E-2</v>
      </c>
      <c r="C56">
        <v>8.6335791849168064E-3</v>
      </c>
      <c r="D56">
        <v>9.0647549123372695E-3</v>
      </c>
      <c r="E56">
        <v>1.1196333918178647E-2</v>
      </c>
      <c r="F56">
        <v>3.101195037023885E-3</v>
      </c>
      <c r="G56">
        <v>1.0895069399046831E-2</v>
      </c>
      <c r="H56">
        <v>3.4912514600882183E-4</v>
      </c>
      <c r="I56">
        <v>1.1027346253080328E-2</v>
      </c>
      <c r="J56">
        <v>2.5332688257931668E-2</v>
      </c>
      <c r="K56">
        <v>6.4848127338985595E-3</v>
      </c>
      <c r="L56" s="11">
        <f t="shared" si="0"/>
        <v>1.2274163119784662E-2</v>
      </c>
      <c r="M56" s="11">
        <f t="shared" si="1"/>
        <v>1.2274163119784664E-2</v>
      </c>
    </row>
    <row r="57" spans="1:13">
      <c r="A57" s="1">
        <v>45372</v>
      </c>
      <c r="B57">
        <v>-4.2604021500736167E-4</v>
      </c>
      <c r="C57">
        <v>-4.6090125751507838E-3</v>
      </c>
      <c r="D57">
        <v>9.7359121600986143E-3</v>
      </c>
      <c r="E57">
        <v>-7.9338215510528221E-3</v>
      </c>
      <c r="F57">
        <v>5.4852155409910175E-3</v>
      </c>
      <c r="G57">
        <v>1.1762399744741359E-2</v>
      </c>
      <c r="H57">
        <v>3.433086941142971E-3</v>
      </c>
      <c r="I57">
        <v>-1.0151003235193468E-2</v>
      </c>
      <c r="J57">
        <v>-1.6167575308457138E-2</v>
      </c>
      <c r="K57">
        <v>-7.2805932258301898E-4</v>
      </c>
      <c r="L57" s="11">
        <f t="shared" si="0"/>
        <v>-9.598897820470633E-4</v>
      </c>
      <c r="M57" s="11">
        <f t="shared" si="1"/>
        <v>-9.5988978204706308E-4</v>
      </c>
    </row>
    <row r="58" spans="1:13">
      <c r="A58" s="1">
        <v>45373</v>
      </c>
      <c r="B58">
        <v>6.1268469577553386E-3</v>
      </c>
      <c r="C58">
        <v>3.3069750280256827E-4</v>
      </c>
      <c r="D58">
        <v>-1.4672027205059335E-3</v>
      </c>
      <c r="E58">
        <v>8.5111650783769033E-3</v>
      </c>
      <c r="F58">
        <v>-6.9033864993199301E-2</v>
      </c>
      <c r="G58">
        <v>3.1213545402556608E-2</v>
      </c>
      <c r="H58">
        <v>-2.49354177486516E-3</v>
      </c>
      <c r="I58">
        <v>-1.0364527026534121E-2</v>
      </c>
      <c r="J58">
        <v>-1.1514902261464788E-2</v>
      </c>
      <c r="K58">
        <v>-4.7357203591821273E-3</v>
      </c>
      <c r="L58" s="11">
        <f t="shared" si="0"/>
        <v>-5.342750419426002E-3</v>
      </c>
      <c r="M58" s="11">
        <f t="shared" si="1"/>
        <v>-5.3427504194260012E-3</v>
      </c>
    </row>
    <row r="59" spans="1:13">
      <c r="A59" s="1">
        <v>45376</v>
      </c>
      <c r="B59">
        <v>1.3555718696618868E-2</v>
      </c>
      <c r="C59">
        <v>-1.4878430351107363E-3</v>
      </c>
      <c r="D59">
        <v>-1.3714707891961386E-2</v>
      </c>
      <c r="E59">
        <v>-8.7576278151080267E-4</v>
      </c>
      <c r="F59">
        <v>-1.1720136053934294E-3</v>
      </c>
      <c r="G59">
        <v>7.5616831870466417E-3</v>
      </c>
      <c r="H59">
        <v>3.3717960918191459E-3</v>
      </c>
      <c r="I59">
        <v>-4.409780000872443E-4</v>
      </c>
      <c r="J59">
        <v>1.0536808713133006E-2</v>
      </c>
      <c r="K59">
        <v>1.8667670647347645E-3</v>
      </c>
      <c r="L59" s="11">
        <f t="shared" si="0"/>
        <v>1.9201468439288829E-3</v>
      </c>
      <c r="M59" s="11">
        <f t="shared" si="1"/>
        <v>1.9201468439288827E-3</v>
      </c>
    </row>
    <row r="60" spans="1:13">
      <c r="A60" s="1">
        <v>45377</v>
      </c>
      <c r="B60">
        <v>-2.0427373634092971E-2</v>
      </c>
      <c r="C60">
        <v>2.3178929636948897E-3</v>
      </c>
      <c r="D60">
        <v>-2.8614120991495851E-3</v>
      </c>
      <c r="E60">
        <v>2.8367835390101792E-3</v>
      </c>
      <c r="F60">
        <v>-1.2479930302655595E-2</v>
      </c>
      <c r="G60">
        <v>-2.5694163143905269E-2</v>
      </c>
      <c r="H60">
        <v>7.5310105867765209E-4</v>
      </c>
      <c r="I60">
        <v>-3.4189351743992846E-3</v>
      </c>
      <c r="J60">
        <v>2.9195349264772075E-2</v>
      </c>
      <c r="K60">
        <v>1.5344997923478765E-3</v>
      </c>
      <c r="L60" s="11">
        <f t="shared" si="0"/>
        <v>-2.8244187735700032E-3</v>
      </c>
      <c r="M60" s="11">
        <f t="shared" si="1"/>
        <v>-2.8244187735700032E-3</v>
      </c>
    </row>
    <row r="61" spans="1:13">
      <c r="A61" s="1">
        <v>45378</v>
      </c>
      <c r="B61">
        <v>2.3733317057290648E-2</v>
      </c>
      <c r="C61">
        <v>8.0938319824006566E-3</v>
      </c>
      <c r="D61">
        <v>-5.2174304406993333E-4</v>
      </c>
      <c r="E61">
        <v>-2.4966564715075523E-2</v>
      </c>
      <c r="F61">
        <v>1.6742199601307739E-2</v>
      </c>
      <c r="G61">
        <v>-2.496724958434704E-2</v>
      </c>
      <c r="H61">
        <v>4.863189628961484E-3</v>
      </c>
      <c r="I61">
        <v>1.2616247598665753E-2</v>
      </c>
      <c r="J61">
        <v>1.2157391142960883E-2</v>
      </c>
      <c r="K61">
        <v>9.7341774132082559E-3</v>
      </c>
      <c r="L61" s="11">
        <f t="shared" si="0"/>
        <v>3.7484797081302921E-3</v>
      </c>
      <c r="M61" s="11">
        <f t="shared" si="1"/>
        <v>3.7484797081302921E-3</v>
      </c>
    </row>
    <row r="62" spans="1:13">
      <c r="A62" s="1">
        <v>45379</v>
      </c>
      <c r="B62">
        <v>5.418122226917399E-3</v>
      </c>
      <c r="C62">
        <v>2.4577324988106497E-3</v>
      </c>
      <c r="D62">
        <v>-1.6847624939575478E-3</v>
      </c>
      <c r="E62">
        <v>-1.0105474729798392E-2</v>
      </c>
      <c r="F62">
        <v>-1.5934424507294542E-3</v>
      </c>
      <c r="G62">
        <v>1.1745910475504662E-3</v>
      </c>
      <c r="H62">
        <v>8.2962208441645924E-3</v>
      </c>
      <c r="I62">
        <v>-1.2023268119402131E-3</v>
      </c>
      <c r="J62">
        <v>-2.2465709302041281E-2</v>
      </c>
      <c r="K62">
        <v>-3.3341682132137507E-3</v>
      </c>
      <c r="L62" s="11">
        <f t="shared" si="0"/>
        <v>-2.3039217384237531E-3</v>
      </c>
      <c r="M62" s="11">
        <f t="shared" si="1"/>
        <v>-2.3039217384237531E-3</v>
      </c>
    </row>
    <row r="63" spans="1:13">
      <c r="A63" s="1">
        <v>45383</v>
      </c>
      <c r="B63">
        <v>-1.8083866489592038E-2</v>
      </c>
      <c r="C63">
        <v>-8.1726580068449683E-3</v>
      </c>
      <c r="D63">
        <v>9.151015777980831E-3</v>
      </c>
      <c r="E63">
        <v>1.1492895579566564E-2</v>
      </c>
      <c r="F63">
        <v>-1.510966781656653E-2</v>
      </c>
      <c r="G63">
        <v>7.7375124910794568E-5</v>
      </c>
      <c r="H63">
        <v>-1.1599254883322696E-2</v>
      </c>
      <c r="I63">
        <v>1.5319821314156989E-3</v>
      </c>
      <c r="J63">
        <v>-3.2424602491519794E-3</v>
      </c>
      <c r="K63">
        <v>-5.6728209899550297E-3</v>
      </c>
      <c r="L63" s="11">
        <f t="shared" si="0"/>
        <v>-3.9627459821559366E-3</v>
      </c>
      <c r="M63" s="11">
        <f t="shared" si="1"/>
        <v>-3.9627459821559349E-3</v>
      </c>
    </row>
    <row r="64" spans="1:13">
      <c r="A64" s="1">
        <v>45384</v>
      </c>
      <c r="B64">
        <v>-7.7045209175092833E-3</v>
      </c>
      <c r="C64">
        <v>-8.7341999218701893E-3</v>
      </c>
      <c r="D64">
        <v>-7.372149441595921E-3</v>
      </c>
      <c r="E64">
        <v>-1.6274452041198373E-4</v>
      </c>
      <c r="F64">
        <v>-1.7394107563493688E-2</v>
      </c>
      <c r="G64">
        <v>-1.0081553491214201E-2</v>
      </c>
      <c r="H64">
        <v>-8.9028233386189148E-3</v>
      </c>
      <c r="I64">
        <v>-2.436352136097053E-2</v>
      </c>
      <c r="J64">
        <v>-4.9024062767076826E-2</v>
      </c>
      <c r="K64">
        <v>-2.0589622684261122E-2</v>
      </c>
      <c r="L64" s="11">
        <f t="shared" si="0"/>
        <v>-1.5432930600702267E-2</v>
      </c>
      <c r="M64" s="11">
        <f t="shared" si="1"/>
        <v>-1.5432930600702267E-2</v>
      </c>
    </row>
    <row r="65" spans="1:13">
      <c r="A65" s="1">
        <v>45385</v>
      </c>
      <c r="B65">
        <v>-1.6592189047993755E-2</v>
      </c>
      <c r="C65">
        <v>-5.3200327799530767E-3</v>
      </c>
      <c r="D65">
        <v>-2.3490500510310319E-3</v>
      </c>
      <c r="E65">
        <v>2.5838059539011304E-2</v>
      </c>
      <c r="F65">
        <v>-6.8168322976503992E-3</v>
      </c>
      <c r="G65">
        <v>-5.4554668021392638E-3</v>
      </c>
      <c r="H65">
        <v>-1.0265919273379942E-2</v>
      </c>
      <c r="I65">
        <v>-6.7190231803386791E-3</v>
      </c>
      <c r="J65">
        <v>1.0502310200559251E-2</v>
      </c>
      <c r="K65">
        <v>5.5637195793734051E-3</v>
      </c>
      <c r="L65" s="11">
        <f t="shared" si="0"/>
        <v>-1.1614424113542195E-3</v>
      </c>
      <c r="M65" s="11">
        <f t="shared" si="1"/>
        <v>-1.1614424113542189E-3</v>
      </c>
    </row>
    <row r="66" spans="1:13">
      <c r="A66" s="1">
        <v>45386</v>
      </c>
      <c r="B66">
        <v>-8.8146490317603243E-3</v>
      </c>
      <c r="C66">
        <v>-8.858549236402502E-3</v>
      </c>
      <c r="D66">
        <v>-6.1125320498873759E-3</v>
      </c>
      <c r="E66">
        <v>-2.0537077974908668E-2</v>
      </c>
      <c r="F66">
        <v>-1.3948960916909336E-2</v>
      </c>
      <c r="G66">
        <v>-3.4384721615360547E-2</v>
      </c>
      <c r="H66">
        <v>-1.7679055626784734E-4</v>
      </c>
      <c r="I66">
        <v>-1.2175768662349928E-2</v>
      </c>
      <c r="J66">
        <v>1.6213301154368143E-2</v>
      </c>
      <c r="K66">
        <v>-1.1065641701279771E-2</v>
      </c>
      <c r="L66" s="11">
        <f t="shared" si="0"/>
        <v>-9.9861390590758169E-3</v>
      </c>
      <c r="M66" s="11">
        <f t="shared" si="1"/>
        <v>-9.9861390590758152E-3</v>
      </c>
    </row>
    <row r="67" spans="1:13">
      <c r="A67" s="1">
        <v>45387</v>
      </c>
      <c r="B67">
        <v>-8.1834198253161183E-4</v>
      </c>
      <c r="C67">
        <v>3.5413675770743502E-3</v>
      </c>
      <c r="D67">
        <v>1.828273043339701E-2</v>
      </c>
      <c r="E67">
        <v>3.0851958348852682E-2</v>
      </c>
      <c r="F67">
        <v>-2.5822489641457169E-3</v>
      </c>
      <c r="G67">
        <v>2.4480556156015965E-2</v>
      </c>
      <c r="H67">
        <v>-3.0061587921939026E-3</v>
      </c>
      <c r="I67">
        <v>-8.7879894180838969E-3</v>
      </c>
      <c r="J67">
        <v>-3.6292482565109196E-2</v>
      </c>
      <c r="K67">
        <v>1.7347373759167173E-2</v>
      </c>
      <c r="L67" s="11">
        <f t="shared" si="0"/>
        <v>4.3016764552442849E-3</v>
      </c>
      <c r="M67" s="11">
        <f t="shared" si="1"/>
        <v>4.3016764552442858E-3</v>
      </c>
    </row>
    <row r="68" spans="1:13">
      <c r="A68" s="1">
        <v>45390</v>
      </c>
      <c r="B68">
        <v>-8.6272897036184792E-3</v>
      </c>
      <c r="C68">
        <v>-4.0329189268013543E-3</v>
      </c>
      <c r="D68">
        <v>-2.1854944475747651E-3</v>
      </c>
      <c r="E68">
        <v>-1.2213555315641389E-2</v>
      </c>
      <c r="F68">
        <v>1.3057126336714964E-2</v>
      </c>
      <c r="G68">
        <v>-9.9422468218585136E-3</v>
      </c>
      <c r="H68">
        <v>2.6013319339739382E-3</v>
      </c>
      <c r="I68">
        <v>3.9146775915732679E-3</v>
      </c>
      <c r="J68">
        <v>4.8999406489530939E-2</v>
      </c>
      <c r="K68">
        <v>-1.3102312872282251E-2</v>
      </c>
      <c r="L68" s="11">
        <f t="shared" ref="L68:L131" si="2">SUMPRODUCT(B68:K68,$P$2:$Y$2)</f>
        <v>1.8468724264016358E-3</v>
      </c>
      <c r="M68" s="11">
        <f t="shared" ref="M68:M131" si="3">SUM(B68:K68)/10</f>
        <v>1.8468724264016356E-3</v>
      </c>
    </row>
    <row r="69" spans="1:13">
      <c r="A69" s="1">
        <v>45391</v>
      </c>
      <c r="B69">
        <v>-1.8946918306142146E-2</v>
      </c>
      <c r="C69">
        <v>7.5924090462695659E-3</v>
      </c>
      <c r="D69">
        <v>3.9801924910942699E-3</v>
      </c>
      <c r="E69">
        <v>-1.6247292967694116E-2</v>
      </c>
      <c r="F69">
        <v>1.1111178720974557E-2</v>
      </c>
      <c r="G69">
        <v>-2.0417212384697958E-2</v>
      </c>
      <c r="H69">
        <v>6.0738271718845382E-3</v>
      </c>
      <c r="I69">
        <v>-6.8812632824677422E-4</v>
      </c>
      <c r="J69">
        <v>2.2546012554052197E-2</v>
      </c>
      <c r="K69">
        <v>-8.5643142605655864E-3</v>
      </c>
      <c r="L69" s="11">
        <f t="shared" si="2"/>
        <v>-1.3560244263071456E-3</v>
      </c>
      <c r="M69" s="11">
        <f t="shared" si="3"/>
        <v>-1.3560244263071453E-3</v>
      </c>
    </row>
    <row r="70" spans="1:13">
      <c r="A70" s="1">
        <v>45392</v>
      </c>
      <c r="B70">
        <v>-1.9593478161050393E-2</v>
      </c>
      <c r="C70">
        <v>-1.339594567072E-2</v>
      </c>
      <c r="D70">
        <v>-7.0845026531572985E-3</v>
      </c>
      <c r="E70">
        <v>6.1469568959604537E-4</v>
      </c>
      <c r="F70">
        <v>-2.1978068270486983E-2</v>
      </c>
      <c r="G70">
        <v>1.9741455518548445E-2</v>
      </c>
      <c r="H70">
        <v>-9.7298030561546733E-3</v>
      </c>
      <c r="I70">
        <v>-1.3543133182326805E-2</v>
      </c>
      <c r="J70">
        <v>-2.8946236061951347E-2</v>
      </c>
      <c r="K70">
        <v>-4.7907438155586624E-3</v>
      </c>
      <c r="L70" s="11">
        <f t="shared" si="2"/>
        <v>-9.8705759663261661E-3</v>
      </c>
      <c r="M70" s="11">
        <f t="shared" si="3"/>
        <v>-9.8705759663261679E-3</v>
      </c>
    </row>
    <row r="71" spans="1:13">
      <c r="A71" s="1">
        <v>45393</v>
      </c>
      <c r="B71">
        <v>-7.2725433027002184E-3</v>
      </c>
      <c r="C71">
        <v>2.2063501113314121E-3</v>
      </c>
      <c r="D71">
        <v>1.1033348314932745E-2</v>
      </c>
      <c r="E71">
        <v>1.6489398178458403E-2</v>
      </c>
      <c r="F71">
        <v>3.3707893811309564E-2</v>
      </c>
      <c r="G71">
        <v>4.1096522257949353E-2</v>
      </c>
      <c r="H71">
        <v>-3.4921241114937995E-3</v>
      </c>
      <c r="I71">
        <v>-5.8145194867509353E-4</v>
      </c>
      <c r="J71">
        <v>1.6534767626386948E-2</v>
      </c>
      <c r="K71">
        <v>-1.3341872946063149E-2</v>
      </c>
      <c r="L71" s="11">
        <f t="shared" si="2"/>
        <v>9.638028799143614E-3</v>
      </c>
      <c r="M71" s="11">
        <f t="shared" si="3"/>
        <v>9.6380287991436157E-3</v>
      </c>
    </row>
    <row r="72" spans="1:13">
      <c r="A72" s="1">
        <v>45394</v>
      </c>
      <c r="B72">
        <v>-2.1977373933895317E-2</v>
      </c>
      <c r="C72">
        <v>-1.303976611039892E-2</v>
      </c>
      <c r="D72">
        <v>-1.4090976075078587E-2</v>
      </c>
      <c r="E72">
        <v>-9.4627881449822482E-3</v>
      </c>
      <c r="F72">
        <v>0</v>
      </c>
      <c r="G72">
        <v>-2.681652229093523E-2</v>
      </c>
      <c r="H72">
        <v>-1.5442292302277894E-3</v>
      </c>
      <c r="I72">
        <v>-1.1408793626814684E-2</v>
      </c>
      <c r="J72">
        <v>-2.0332204625773787E-2</v>
      </c>
      <c r="K72">
        <v>0</v>
      </c>
      <c r="L72" s="11">
        <f t="shared" si="2"/>
        <v>-1.186726540381066E-2</v>
      </c>
      <c r="M72" s="11">
        <f t="shared" si="3"/>
        <v>-1.1867265403810657E-2</v>
      </c>
    </row>
    <row r="73" spans="1:13">
      <c r="A73" s="1">
        <v>45397</v>
      </c>
      <c r="B73">
        <v>-1.0203454416989222E-2</v>
      </c>
      <c r="C73">
        <v>-2.4021411929731062E-3</v>
      </c>
      <c r="D73">
        <v>-1.9578121246329627E-2</v>
      </c>
      <c r="E73">
        <v>-2.5175396569749875E-2</v>
      </c>
      <c r="F73">
        <v>1.1956661958154147E-2</v>
      </c>
      <c r="G73">
        <v>-2.4777146497157121E-2</v>
      </c>
      <c r="H73">
        <v>-6.8413956063997361E-3</v>
      </c>
      <c r="I73">
        <v>2.9440990446427673E-3</v>
      </c>
      <c r="J73">
        <v>-5.5948594875629754E-2</v>
      </c>
      <c r="K73">
        <v>-6.9917005165075485E-3</v>
      </c>
      <c r="L73" s="11">
        <f t="shared" si="2"/>
        <v>-1.3701718991893909E-2</v>
      </c>
      <c r="M73" s="11">
        <f t="shared" si="3"/>
        <v>-1.3701718991893907E-2</v>
      </c>
    </row>
    <row r="74" spans="1:13">
      <c r="A74" s="1">
        <v>45398</v>
      </c>
      <c r="B74">
        <v>1.6267403220074916E-2</v>
      </c>
      <c r="C74">
        <v>-1.3760740199871835E-3</v>
      </c>
      <c r="D74">
        <v>2.2725429400236585E-3</v>
      </c>
      <c r="E74">
        <v>1.7079790332209299E-2</v>
      </c>
      <c r="F74">
        <v>3.1147485604812175E-3</v>
      </c>
      <c r="G74">
        <v>1.6441664890963104E-2</v>
      </c>
      <c r="H74">
        <v>3.2944153902094708E-3</v>
      </c>
      <c r="I74">
        <v>2.9352717536204054E-3</v>
      </c>
      <c r="J74">
        <v>-2.7062145360477907E-2</v>
      </c>
      <c r="K74">
        <v>-5.0291319843067672E-3</v>
      </c>
      <c r="L74" s="11">
        <f t="shared" si="2"/>
        <v>2.7938485722810219E-3</v>
      </c>
      <c r="M74" s="11">
        <f t="shared" si="3"/>
        <v>2.7938485722810214E-3</v>
      </c>
    </row>
    <row r="75" spans="1:13">
      <c r="A75" s="1">
        <v>45399</v>
      </c>
      <c r="B75">
        <v>-1.9935287704850868E-3</v>
      </c>
      <c r="C75">
        <v>7.7505713090377792E-3</v>
      </c>
      <c r="D75">
        <v>-6.609190149422739E-3</v>
      </c>
      <c r="E75">
        <v>-6.2022557467064088E-3</v>
      </c>
      <c r="F75">
        <v>1.5526306618691255E-2</v>
      </c>
      <c r="G75">
        <v>-3.8666041391940742E-2</v>
      </c>
      <c r="H75">
        <v>1.1820990341716353E-2</v>
      </c>
      <c r="I75">
        <v>9.2484231156333419E-3</v>
      </c>
      <c r="J75">
        <v>-1.0565868854052085E-2</v>
      </c>
      <c r="K75">
        <v>8.087379542333073E-3</v>
      </c>
      <c r="L75" s="11">
        <f t="shared" si="2"/>
        <v>-1.1603213985195257E-3</v>
      </c>
      <c r="M75" s="11">
        <f t="shared" si="3"/>
        <v>-1.1603213985195259E-3</v>
      </c>
    </row>
    <row r="76" spans="1:13">
      <c r="A76" s="1">
        <v>45400</v>
      </c>
      <c r="B76">
        <v>1.1743735904801156E-4</v>
      </c>
      <c r="C76">
        <v>6.8365233389544589E-3</v>
      </c>
      <c r="D76">
        <v>-1.8380835972645282E-2</v>
      </c>
      <c r="E76">
        <v>-5.1003028733744848E-3</v>
      </c>
      <c r="F76">
        <v>9.48974082630194E-3</v>
      </c>
      <c r="G76">
        <v>7.5682184596483904E-3</v>
      </c>
      <c r="H76">
        <v>1.6462147331229637E-2</v>
      </c>
      <c r="I76">
        <v>1.0903682175856799E-2</v>
      </c>
      <c r="J76">
        <v>-3.5509838409960914E-2</v>
      </c>
      <c r="K76">
        <v>1.4348095528758043E-2</v>
      </c>
      <c r="L76" s="11">
        <f t="shared" si="2"/>
        <v>6.7348677638165975E-4</v>
      </c>
      <c r="M76" s="11">
        <f t="shared" si="3"/>
        <v>6.7348677638165986E-4</v>
      </c>
    </row>
    <row r="77" spans="1:13">
      <c r="A77" s="1">
        <v>45401</v>
      </c>
      <c r="B77">
        <v>-2.4084380756091983E-3</v>
      </c>
      <c r="C77">
        <v>2.1388537874191815E-2</v>
      </c>
      <c r="D77">
        <v>-1.2739035033907942E-2</v>
      </c>
      <c r="E77">
        <v>-9.0932946398804892E-2</v>
      </c>
      <c r="F77">
        <v>-1.2638420671364448E-2</v>
      </c>
      <c r="G77">
        <v>-0.10004596351710093</v>
      </c>
      <c r="H77">
        <v>1.0797053550674507E-2</v>
      </c>
      <c r="I77">
        <v>5.2781762424292111E-3</v>
      </c>
      <c r="J77">
        <v>-1.9208895916188684E-2</v>
      </c>
      <c r="K77">
        <v>5.8173952721629618E-3</v>
      </c>
      <c r="L77" s="11">
        <f t="shared" si="2"/>
        <v>-1.946925366735176E-2</v>
      </c>
      <c r="M77" s="11">
        <f t="shared" si="3"/>
        <v>-1.946925366735176E-2</v>
      </c>
    </row>
    <row r="78" spans="1:13">
      <c r="A78" s="1">
        <v>45404</v>
      </c>
      <c r="B78">
        <v>3.8863995692861586E-3</v>
      </c>
      <c r="C78">
        <v>6.3154356206516216E-3</v>
      </c>
      <c r="D78">
        <v>4.6100926495378225E-3</v>
      </c>
      <c r="E78">
        <v>-7.9274008868646106E-4</v>
      </c>
      <c r="F78">
        <v>-3.5966409171414027E-3</v>
      </c>
      <c r="G78">
        <v>4.3543218840525588E-2</v>
      </c>
      <c r="H78">
        <v>1.338078121119568E-2</v>
      </c>
      <c r="I78">
        <v>6.5061751377533117E-3</v>
      </c>
      <c r="J78">
        <v>-3.4002039416756502E-2</v>
      </c>
      <c r="K78">
        <v>2.4575370480786063E-3</v>
      </c>
      <c r="L78" s="11">
        <f t="shared" si="2"/>
        <v>4.2308219654444423E-3</v>
      </c>
      <c r="M78" s="11">
        <f t="shared" si="3"/>
        <v>4.2308219654444423E-3</v>
      </c>
    </row>
    <row r="79" spans="1:13">
      <c r="A79" s="1">
        <v>45405</v>
      </c>
      <c r="B79">
        <v>-7.6255460132441666E-3</v>
      </c>
      <c r="C79">
        <v>1.4863688100148487E-3</v>
      </c>
      <c r="D79">
        <v>1.6485552984378149E-2</v>
      </c>
      <c r="E79">
        <v>4.1741841747477304E-2</v>
      </c>
      <c r="F79">
        <v>-1.8050608983788408E-3</v>
      </c>
      <c r="G79">
        <v>3.6532642711438967E-2</v>
      </c>
      <c r="H79">
        <v>-2.9695156452224425E-2</v>
      </c>
      <c r="I79">
        <v>-3.5156562725162654E-3</v>
      </c>
      <c r="J79">
        <v>1.8514534090265045E-2</v>
      </c>
      <c r="K79">
        <v>-5.6191102549727479E-3</v>
      </c>
      <c r="L79" s="11">
        <f t="shared" si="2"/>
        <v>6.650041045223788E-3</v>
      </c>
      <c r="M79" s="11">
        <f t="shared" si="3"/>
        <v>6.6500410452237872E-3</v>
      </c>
    </row>
    <row r="80" spans="1:13">
      <c r="A80" s="1">
        <v>45406</v>
      </c>
      <c r="B80">
        <v>-2.8667638341973389E-2</v>
      </c>
      <c r="C80">
        <v>1.5006643693658228E-2</v>
      </c>
      <c r="D80">
        <v>3.6556927603528244E-3</v>
      </c>
      <c r="E80">
        <v>-3.9169199277910738E-2</v>
      </c>
      <c r="F80">
        <v>6.5944118828882292E-3</v>
      </c>
      <c r="G80">
        <v>-3.3315896612747697E-2</v>
      </c>
      <c r="H80">
        <v>3.615236333037819E-2</v>
      </c>
      <c r="I80">
        <v>1.0014894299430255E-2</v>
      </c>
      <c r="J80">
        <v>0.12061109407252601</v>
      </c>
      <c r="K80">
        <v>3.0340701157176575E-3</v>
      </c>
      <c r="L80" s="11">
        <f t="shared" si="2"/>
        <v>9.3916435922319578E-3</v>
      </c>
      <c r="M80" s="11">
        <f t="shared" si="3"/>
        <v>9.3916435922319578E-3</v>
      </c>
    </row>
    <row r="81" spans="1:13">
      <c r="A81" s="1">
        <v>45407</v>
      </c>
      <c r="B81">
        <v>1.5091557840354985E-2</v>
      </c>
      <c r="C81">
        <v>3.0870155770188479E-3</v>
      </c>
      <c r="D81">
        <v>-2.4495145818981268E-2</v>
      </c>
      <c r="E81">
        <v>1.7437658093611752E-2</v>
      </c>
      <c r="F81">
        <v>-7.3963786561637157E-3</v>
      </c>
      <c r="G81">
        <v>3.7087271148966927E-2</v>
      </c>
      <c r="H81">
        <v>-4.1148828574578689E-3</v>
      </c>
      <c r="I81">
        <v>-1.0253561678725376E-2</v>
      </c>
      <c r="J81">
        <v>4.9651437430027645E-2</v>
      </c>
      <c r="K81">
        <v>-2.8584337014260552E-2</v>
      </c>
      <c r="L81" s="11">
        <f t="shared" si="2"/>
        <v>4.7510634064391391E-3</v>
      </c>
      <c r="M81" s="11">
        <f t="shared" si="3"/>
        <v>4.7510634064391374E-3</v>
      </c>
    </row>
    <row r="82" spans="1:13">
      <c r="A82" s="1">
        <v>45408</v>
      </c>
      <c r="B82">
        <v>2.4579082076059411E-3</v>
      </c>
      <c r="C82">
        <v>0</v>
      </c>
      <c r="D82">
        <v>1.824380364198297E-2</v>
      </c>
      <c r="E82">
        <v>-6.3208346341653288E-3</v>
      </c>
      <c r="F82">
        <v>1.91604815879165E-3</v>
      </c>
      <c r="G82">
        <v>6.1755704764441255E-2</v>
      </c>
      <c r="H82">
        <v>-6.2257945285774108E-3</v>
      </c>
      <c r="I82">
        <v>4.6675053830997904E-3</v>
      </c>
      <c r="J82">
        <v>-1.110588477489094E-2</v>
      </c>
      <c r="K82">
        <v>-2.3236886231442933E-2</v>
      </c>
      <c r="L82" s="11">
        <f t="shared" si="2"/>
        <v>4.2151569986844991E-3</v>
      </c>
      <c r="M82" s="11">
        <f t="shared" si="3"/>
        <v>4.2151569986844991E-3</v>
      </c>
    </row>
    <row r="83" spans="1:13">
      <c r="A83" s="1">
        <v>45411</v>
      </c>
      <c r="B83">
        <v>3.7495540166786689E-2</v>
      </c>
      <c r="C83">
        <v>4.8590659391016811E-3</v>
      </c>
      <c r="D83">
        <v>-1.001667955473573E-2</v>
      </c>
      <c r="E83">
        <v>-3.1003159042247708E-3</v>
      </c>
      <c r="F83">
        <v>-6.3754443485131151E-4</v>
      </c>
      <c r="G83">
        <v>2.5063012031178999E-4</v>
      </c>
      <c r="H83">
        <v>3.1893186331044543E-3</v>
      </c>
      <c r="I83">
        <v>9.0663013124259173E-4</v>
      </c>
      <c r="J83">
        <v>0.1530691710339962</v>
      </c>
      <c r="K83">
        <v>5.897522128513355E-3</v>
      </c>
      <c r="L83" s="11">
        <f t="shared" si="2"/>
        <v>1.9191333825924497E-2</v>
      </c>
      <c r="M83" s="11">
        <f t="shared" si="3"/>
        <v>1.9191333825924493E-2</v>
      </c>
    </row>
    <row r="84" spans="1:13">
      <c r="A84" s="1">
        <v>45412</v>
      </c>
      <c r="B84">
        <v>-3.2566770282894675E-2</v>
      </c>
      <c r="C84">
        <v>-4.352076405826355E-3</v>
      </c>
      <c r="D84">
        <v>-3.2119486969876765E-2</v>
      </c>
      <c r="E84">
        <v>-1.581793372608975E-2</v>
      </c>
      <c r="F84">
        <v>-1.913653851528252E-2</v>
      </c>
      <c r="G84">
        <v>-1.5440287050479728E-2</v>
      </c>
      <c r="H84">
        <v>-1.3057149302799775E-3</v>
      </c>
      <c r="I84">
        <v>1.8112610019438424E-3</v>
      </c>
      <c r="J84">
        <v>-5.5501180639447978E-2</v>
      </c>
      <c r="K84">
        <v>-5.1102897708384942E-3</v>
      </c>
      <c r="L84" s="11">
        <f t="shared" si="2"/>
        <v>-1.7953901728907238E-2</v>
      </c>
      <c r="M84" s="11">
        <f t="shared" si="3"/>
        <v>-1.7953901728907241E-2</v>
      </c>
    </row>
    <row r="85" spans="1:13">
      <c r="A85" s="1">
        <v>45413</v>
      </c>
      <c r="B85">
        <v>2.1568222443768992E-2</v>
      </c>
      <c r="C85">
        <v>2.5902860876749756E-3</v>
      </c>
      <c r="D85">
        <v>1.440934435706831E-2</v>
      </c>
      <c r="E85">
        <v>1.9432066245714807E-3</v>
      </c>
      <c r="F85">
        <v>-2.0810939703148068E-2</v>
      </c>
      <c r="G85">
        <v>-3.8899676221030188E-2</v>
      </c>
      <c r="H85">
        <v>-4.3204096474315223E-3</v>
      </c>
      <c r="I85">
        <v>-0.15877486804709706</v>
      </c>
      <c r="J85">
        <v>-1.7950640048256306E-2</v>
      </c>
      <c r="K85">
        <v>1.4175389657628656E-2</v>
      </c>
      <c r="L85" s="11">
        <f t="shared" si="2"/>
        <v>-1.8607008449625078E-2</v>
      </c>
      <c r="M85" s="11">
        <f t="shared" si="3"/>
        <v>-1.8607008449625075E-2</v>
      </c>
    </row>
    <row r="86" spans="1:13">
      <c r="A86" s="1">
        <v>45414</v>
      </c>
      <c r="B86">
        <v>4.3100426340122899E-2</v>
      </c>
      <c r="C86">
        <v>9.6876782737620459E-4</v>
      </c>
      <c r="D86">
        <v>7.3429365490254028E-3</v>
      </c>
      <c r="E86">
        <v>2.4360627695960479E-2</v>
      </c>
      <c r="F86">
        <v>2.2913531212175098E-2</v>
      </c>
      <c r="G86">
        <v>3.3429356458785309E-2</v>
      </c>
      <c r="H86">
        <v>1.7127842540740623E-3</v>
      </c>
      <c r="I86">
        <v>6.5824269279266545E-3</v>
      </c>
      <c r="J86">
        <v>1.1105624235208111E-4</v>
      </c>
      <c r="K86">
        <v>-8.6768763828786177E-3</v>
      </c>
      <c r="L86" s="11">
        <f t="shared" si="2"/>
        <v>1.3184503712491956E-2</v>
      </c>
      <c r="M86" s="11">
        <f t="shared" si="3"/>
        <v>1.3184503712491958E-2</v>
      </c>
    </row>
    <row r="87" spans="1:13">
      <c r="A87" s="1">
        <v>45415</v>
      </c>
      <c r="B87">
        <v>5.2557291056112287E-3</v>
      </c>
      <c r="C87">
        <v>2.9036821590135986E-3</v>
      </c>
      <c r="D87">
        <v>2.2169767270060259E-2</v>
      </c>
      <c r="E87">
        <v>2.51083815419062E-2</v>
      </c>
      <c r="F87">
        <v>-2.8135889386692314E-3</v>
      </c>
      <c r="G87">
        <v>3.4631834809267348E-2</v>
      </c>
      <c r="H87">
        <v>3.9896934433472087E-3</v>
      </c>
      <c r="I87">
        <v>-2.4289433290018758E-2</v>
      </c>
      <c r="J87">
        <v>6.5552356567968317E-3</v>
      </c>
      <c r="K87">
        <v>-1.9802887566868765E-3</v>
      </c>
      <c r="L87" s="11">
        <f t="shared" si="2"/>
        <v>7.1531013000627822E-3</v>
      </c>
      <c r="M87" s="11">
        <f t="shared" si="3"/>
        <v>7.1531013000627804E-3</v>
      </c>
    </row>
    <row r="88" spans="1:13">
      <c r="A88" s="1">
        <v>45418</v>
      </c>
      <c r="B88">
        <v>-8.0092732431736868E-3</v>
      </c>
      <c r="C88">
        <v>2.8953388436825378E-3</v>
      </c>
      <c r="D88">
        <v>1.6918332602665176E-2</v>
      </c>
      <c r="E88">
        <v>3.0431081973307794E-2</v>
      </c>
      <c r="F88">
        <v>1.3130791903980699E-2</v>
      </c>
      <c r="G88">
        <v>3.7741032694493803E-2</v>
      </c>
      <c r="H88">
        <v>-1.8732675080603833E-3</v>
      </c>
      <c r="I88">
        <v>-2.8723294653391074E-3</v>
      </c>
      <c r="J88">
        <v>1.9703030064164295E-2</v>
      </c>
      <c r="K88">
        <v>4.2858323829573219E-3</v>
      </c>
      <c r="L88" s="11">
        <f t="shared" si="2"/>
        <v>1.1235057024867845E-2</v>
      </c>
      <c r="M88" s="11">
        <f t="shared" si="3"/>
        <v>1.1235057024867845E-2</v>
      </c>
    </row>
    <row r="89" spans="1:13">
      <c r="A89" s="1">
        <v>45419</v>
      </c>
      <c r="B89">
        <v>-9.1953985619498413E-3</v>
      </c>
      <c r="C89">
        <v>4.3303748974563572E-3</v>
      </c>
      <c r="D89">
        <v>-1.015624540220883E-2</v>
      </c>
      <c r="E89">
        <v>1.51264380790197E-2</v>
      </c>
      <c r="F89">
        <v>4.4987216541154673E-3</v>
      </c>
      <c r="G89">
        <v>-1.721281688697629E-2</v>
      </c>
      <c r="H89">
        <v>1.2512673862178803E-2</v>
      </c>
      <c r="I89">
        <v>-5.4869049967171124E-3</v>
      </c>
      <c r="J89">
        <v>-3.7616351780010882E-2</v>
      </c>
      <c r="K89">
        <v>7.0731164718416117E-3</v>
      </c>
      <c r="L89" s="11">
        <f t="shared" si="2"/>
        <v>-3.6126392663251021E-3</v>
      </c>
      <c r="M89" s="11">
        <f t="shared" si="3"/>
        <v>-3.6126392663251017E-3</v>
      </c>
    </row>
    <row r="90" spans="1:13">
      <c r="A90" s="1">
        <v>45420</v>
      </c>
      <c r="B90">
        <v>2.0598716831820241E-2</v>
      </c>
      <c r="C90">
        <v>3.6728905758784958E-3</v>
      </c>
      <c r="D90">
        <v>2.9316117806341691E-3</v>
      </c>
      <c r="E90">
        <v>5.7260242625825075E-3</v>
      </c>
      <c r="F90">
        <v>-2.0259320976978579E-3</v>
      </c>
      <c r="G90">
        <v>-1.5681404433501855E-3</v>
      </c>
      <c r="H90">
        <v>-3.4264819989056061E-3</v>
      </c>
      <c r="I90">
        <v>1.3793051734295458E-2</v>
      </c>
      <c r="J90">
        <v>-1.7378079862307882E-2</v>
      </c>
      <c r="K90">
        <v>-7.4549745317384897E-3</v>
      </c>
      <c r="L90" s="11">
        <f t="shared" si="2"/>
        <v>1.4868686251210844E-3</v>
      </c>
      <c r="M90" s="11">
        <f t="shared" si="3"/>
        <v>1.486868625121085E-3</v>
      </c>
    </row>
    <row r="91" spans="1:13">
      <c r="A91" s="1">
        <v>45421</v>
      </c>
      <c r="B91">
        <v>4.9902626339166645E-3</v>
      </c>
      <c r="C91">
        <v>4.7738797074181605E-4</v>
      </c>
      <c r="D91">
        <v>4.335750154415674E-3</v>
      </c>
      <c r="E91">
        <v>4.2989093446561544E-3</v>
      </c>
      <c r="F91">
        <v>-2.1371268742489402E-3</v>
      </c>
      <c r="G91">
        <v>-1.8415693843690351E-2</v>
      </c>
      <c r="H91">
        <v>3.6637731014079744E-3</v>
      </c>
      <c r="I91">
        <v>2.9659885034700961E-2</v>
      </c>
      <c r="J91">
        <v>-1.5739468754503161E-2</v>
      </c>
      <c r="K91">
        <v>1.0475913261115855E-2</v>
      </c>
      <c r="L91" s="11">
        <f t="shared" si="2"/>
        <v>2.1609592028512649E-3</v>
      </c>
      <c r="M91" s="11">
        <f t="shared" si="3"/>
        <v>2.1609592028512649E-3</v>
      </c>
    </row>
    <row r="92" spans="1:13">
      <c r="A92" s="1">
        <v>45422</v>
      </c>
      <c r="B92">
        <v>-1.5117271686427625E-2</v>
      </c>
      <c r="C92">
        <v>6.0431899495203556E-3</v>
      </c>
      <c r="D92">
        <v>5.8691140934201691E-3</v>
      </c>
      <c r="E92">
        <v>-1.9932227037723349E-3</v>
      </c>
      <c r="F92">
        <v>-2.623390496818967E-2</v>
      </c>
      <c r="G92">
        <v>1.274414071738561E-2</v>
      </c>
      <c r="H92">
        <v>9.7158670384318579E-3</v>
      </c>
      <c r="I92">
        <v>5.6817939294047104E-3</v>
      </c>
      <c r="J92">
        <v>-2.0352386899783581E-2</v>
      </c>
      <c r="K92">
        <v>5.1640210639967155E-3</v>
      </c>
      <c r="L92" s="11">
        <f t="shared" si="2"/>
        <v>-1.8478659466013791E-3</v>
      </c>
      <c r="M92" s="11">
        <f t="shared" si="3"/>
        <v>-1.8478659466013791E-3</v>
      </c>
    </row>
    <row r="93" spans="1:13">
      <c r="A93" s="1">
        <v>45425</v>
      </c>
      <c r="B93">
        <v>-3.9209045758126226E-4</v>
      </c>
      <c r="C93">
        <v>5.0585515014536231E-3</v>
      </c>
      <c r="D93">
        <v>-2.459273208556545E-3</v>
      </c>
      <c r="E93">
        <v>9.3637464337785747E-3</v>
      </c>
      <c r="F93">
        <v>1.9573360917489069E-2</v>
      </c>
      <c r="G93">
        <v>5.7967177097570932E-3</v>
      </c>
      <c r="H93">
        <v>6.1737758590842962E-3</v>
      </c>
      <c r="I93">
        <v>9.1966940348831017E-4</v>
      </c>
      <c r="J93">
        <v>2.0300339194897044E-2</v>
      </c>
      <c r="K93">
        <v>-1.2649289398648844E-2</v>
      </c>
      <c r="L93" s="11">
        <f t="shared" si="2"/>
        <v>5.1685507955161365E-3</v>
      </c>
      <c r="M93" s="11">
        <f t="shared" si="3"/>
        <v>5.1685507955161357E-3</v>
      </c>
    </row>
    <row r="94" spans="1:13">
      <c r="A94" s="1">
        <v>45426</v>
      </c>
      <c r="B94">
        <v>1.3001524510687146E-2</v>
      </c>
      <c r="C94">
        <v>-7.5495747922756928E-3</v>
      </c>
      <c r="D94">
        <v>6.8645627364323225E-3</v>
      </c>
      <c r="E94">
        <v>-4.7520290360190121E-3</v>
      </c>
      <c r="F94">
        <v>7.5483568190826134E-4</v>
      </c>
      <c r="G94">
        <v>1.0586485397790169E-2</v>
      </c>
      <c r="H94">
        <v>-5.6936636437756594E-3</v>
      </c>
      <c r="I94">
        <v>-7.2197629569603627E-3</v>
      </c>
      <c r="J94">
        <v>3.2928056793336991E-2</v>
      </c>
      <c r="K94">
        <v>8.2782831674532709E-4</v>
      </c>
      <c r="L94" s="11">
        <f t="shared" si="2"/>
        <v>3.974826300786949E-3</v>
      </c>
      <c r="M94" s="11">
        <f t="shared" si="3"/>
        <v>3.974826300786949E-3</v>
      </c>
    </row>
    <row r="95" spans="1:13">
      <c r="A95" s="1">
        <v>45427</v>
      </c>
      <c r="B95">
        <v>-2.0856324011054528E-2</v>
      </c>
      <c r="C95">
        <v>4.7549656407763763E-4</v>
      </c>
      <c r="D95">
        <v>1.7483812743069205E-2</v>
      </c>
      <c r="E95">
        <v>-2.2806378027862007E-4</v>
      </c>
      <c r="F95">
        <v>-1.2070284874237114E-2</v>
      </c>
      <c r="G95">
        <v>3.5837736905204087E-2</v>
      </c>
      <c r="H95">
        <v>-2.2793766832600593E-3</v>
      </c>
      <c r="I95">
        <v>9.2550632509169617E-4</v>
      </c>
      <c r="J95">
        <v>-2.0050675851327471E-2</v>
      </c>
      <c r="K95">
        <v>6.8534144058916002E-3</v>
      </c>
      <c r="L95" s="11">
        <f t="shared" si="2"/>
        <v>6.091241743176436E-4</v>
      </c>
      <c r="M95" s="11">
        <f t="shared" si="3"/>
        <v>6.0912417431764339E-4</v>
      </c>
    </row>
    <row r="96" spans="1:13">
      <c r="A96" s="1">
        <v>45428</v>
      </c>
      <c r="B96">
        <v>3.373072509980557E-2</v>
      </c>
      <c r="C96">
        <v>3.0096918093134306E-3</v>
      </c>
      <c r="D96">
        <v>-4.9398888007153863E-3</v>
      </c>
      <c r="E96">
        <v>-4.8898159872470259E-3</v>
      </c>
      <c r="F96">
        <v>1.0907735966732002E-3</v>
      </c>
      <c r="G96">
        <v>-2.8638354214508555E-3</v>
      </c>
      <c r="H96">
        <v>2.0338767177235484E-2</v>
      </c>
      <c r="I96">
        <v>1.9966790015855107E-3</v>
      </c>
      <c r="J96">
        <v>4.8852854640515364E-3</v>
      </c>
      <c r="K96">
        <v>2.9339158834267298E-3</v>
      </c>
      <c r="L96" s="11">
        <f t="shared" si="2"/>
        <v>5.5292297822678201E-3</v>
      </c>
      <c r="M96" s="11">
        <f t="shared" si="3"/>
        <v>5.5292297822678192E-3</v>
      </c>
    </row>
    <row r="97" spans="1:13">
      <c r="A97" s="1">
        <v>45429</v>
      </c>
      <c r="B97">
        <v>1.0876640584557729E-2</v>
      </c>
      <c r="C97">
        <v>-4.5799756072898434E-3</v>
      </c>
      <c r="D97">
        <v>-1.8527339476523963E-3</v>
      </c>
      <c r="E97">
        <v>1.7329417080884868E-2</v>
      </c>
      <c r="F97">
        <v>4.4678871622563232E-3</v>
      </c>
      <c r="G97">
        <v>-1.99239644481497E-2</v>
      </c>
      <c r="H97">
        <v>-5.0244016875066189E-3</v>
      </c>
      <c r="I97">
        <v>3.4139221853888069E-2</v>
      </c>
      <c r="J97">
        <v>1.498518892046663E-2</v>
      </c>
      <c r="K97">
        <v>3.9783540808191464E-3</v>
      </c>
      <c r="L97" s="11">
        <f t="shared" si="2"/>
        <v>5.4395633992274208E-3</v>
      </c>
      <c r="M97" s="11">
        <f t="shared" si="3"/>
        <v>5.4395633992274208E-3</v>
      </c>
    </row>
    <row r="98" spans="1:13">
      <c r="A98" s="1">
        <v>45432</v>
      </c>
      <c r="B98">
        <v>8.975418705054361E-3</v>
      </c>
      <c r="C98">
        <v>-7.2981236230246216E-3</v>
      </c>
      <c r="D98">
        <v>1.2208193755066432E-2</v>
      </c>
      <c r="E98">
        <v>3.1750173101644963E-2</v>
      </c>
      <c r="F98">
        <v>-4.448013937885853E-3</v>
      </c>
      <c r="G98">
        <v>2.4881354751582485E-2</v>
      </c>
      <c r="H98">
        <v>-1.0318878516285213E-2</v>
      </c>
      <c r="I98">
        <v>-3.9818995980327454E-3</v>
      </c>
      <c r="J98">
        <v>-1.4144086952910362E-2</v>
      </c>
      <c r="K98">
        <v>-1.6705394001615081E-2</v>
      </c>
      <c r="L98" s="11">
        <f t="shared" si="2"/>
        <v>2.0918743683594363E-3</v>
      </c>
      <c r="M98" s="11">
        <f t="shared" si="3"/>
        <v>2.0918743683594363E-3</v>
      </c>
    </row>
    <row r="99" spans="1:13">
      <c r="A99" s="1">
        <v>45433</v>
      </c>
      <c r="B99">
        <v>-9.806558196610915E-3</v>
      </c>
      <c r="C99">
        <v>5.4339337240949526E-3</v>
      </c>
      <c r="D99">
        <v>8.698914419667414E-3</v>
      </c>
      <c r="E99">
        <v>1.5277266495193675E-2</v>
      </c>
      <c r="F99">
        <v>1.1441794493217694E-2</v>
      </c>
      <c r="G99">
        <v>6.3938328531194522E-3</v>
      </c>
      <c r="H99">
        <v>4.2704964203503781E-3</v>
      </c>
      <c r="I99">
        <v>2.3212619242249932E-3</v>
      </c>
      <c r="J99">
        <v>6.659050790792298E-2</v>
      </c>
      <c r="K99">
        <v>3.121245575615772E-3</v>
      </c>
      <c r="L99" s="11">
        <f t="shared" si="2"/>
        <v>1.137426956167964E-2</v>
      </c>
      <c r="M99" s="11">
        <f t="shared" si="3"/>
        <v>1.137426956167964E-2</v>
      </c>
    </row>
    <row r="100" spans="1:13">
      <c r="A100" s="1">
        <v>45434</v>
      </c>
      <c r="B100">
        <v>8.1177617161456439E-3</v>
      </c>
      <c r="C100">
        <v>1.4306721209182971E-3</v>
      </c>
      <c r="D100">
        <v>3.4495153497953179E-3</v>
      </c>
      <c r="E100">
        <v>-1.5585396592027068E-2</v>
      </c>
      <c r="F100">
        <v>-3.4475501305715195E-3</v>
      </c>
      <c r="G100">
        <v>-4.5708491622183933E-3</v>
      </c>
      <c r="H100">
        <v>5.5776216296037351E-3</v>
      </c>
      <c r="I100">
        <v>3.8600081133487008E-2</v>
      </c>
      <c r="J100">
        <v>-3.4780306971499919E-2</v>
      </c>
      <c r="K100">
        <v>9.7285603791359421E-3</v>
      </c>
      <c r="L100" s="11">
        <f t="shared" si="2"/>
        <v>8.5201094727690465E-4</v>
      </c>
      <c r="M100" s="11">
        <f t="shared" si="3"/>
        <v>8.5201094727690443E-4</v>
      </c>
    </row>
    <row r="101" spans="1:13">
      <c r="A101" s="1">
        <v>45435</v>
      </c>
      <c r="B101">
        <v>-7.5531415920284006E-2</v>
      </c>
      <c r="C101">
        <v>-1.4444488338249406E-2</v>
      </c>
      <c r="D101">
        <v>-8.1761053010074303E-3</v>
      </c>
      <c r="E101">
        <v>-7.4944775126606356E-3</v>
      </c>
      <c r="F101">
        <v>-1.1891861809702475E-2</v>
      </c>
      <c r="G101">
        <v>9.319636488888805E-2</v>
      </c>
      <c r="H101">
        <v>-1.548686084015749E-2</v>
      </c>
      <c r="I101">
        <v>-2.9856350424869005E-2</v>
      </c>
      <c r="J101">
        <v>-3.5367248323805223E-2</v>
      </c>
      <c r="K101">
        <v>-1.505687971298042E-2</v>
      </c>
      <c r="L101" s="11">
        <f t="shared" si="2"/>
        <v>-1.2010932329482804E-2</v>
      </c>
      <c r="M101" s="11">
        <f t="shared" si="3"/>
        <v>-1.2010932329482804E-2</v>
      </c>
    </row>
    <row r="102" spans="1:13">
      <c r="A102" s="1">
        <v>45436</v>
      </c>
      <c r="B102">
        <v>1.3413840476942607E-2</v>
      </c>
      <c r="C102">
        <v>-1.4494390170750604E-3</v>
      </c>
      <c r="D102">
        <v>7.4003939511770866E-3</v>
      </c>
      <c r="E102">
        <v>1.7430455091050012E-2</v>
      </c>
      <c r="F102">
        <v>3.8291990292447231E-3</v>
      </c>
      <c r="G102">
        <v>2.5722791976217962E-2</v>
      </c>
      <c r="H102">
        <v>-7.1400240116916702E-3</v>
      </c>
      <c r="I102">
        <v>7.1512398814250755E-3</v>
      </c>
      <c r="J102">
        <v>3.1656497214836321E-2</v>
      </c>
      <c r="K102">
        <v>2.7722823049014522E-3</v>
      </c>
      <c r="L102" s="11">
        <f t="shared" si="2"/>
        <v>1.007872368970285E-2</v>
      </c>
      <c r="M102" s="11">
        <f t="shared" si="3"/>
        <v>1.0078723689702852E-2</v>
      </c>
    </row>
    <row r="103" spans="1:13">
      <c r="A103" s="1">
        <v>45440</v>
      </c>
      <c r="B103">
        <v>3.2087872157036124E-3</v>
      </c>
      <c r="C103">
        <v>-2.9033411525419828E-3</v>
      </c>
      <c r="D103">
        <v>3.7202692119375769E-4</v>
      </c>
      <c r="E103">
        <v>3.4789331271742885E-3</v>
      </c>
      <c r="F103">
        <v>2.7248548871516842E-3</v>
      </c>
      <c r="G103">
        <v>6.9804320597537828E-2</v>
      </c>
      <c r="H103">
        <v>-2.5900271315193235E-2</v>
      </c>
      <c r="I103">
        <v>-1.762390439890249E-2</v>
      </c>
      <c r="J103">
        <v>-1.3892018616675217E-2</v>
      </c>
      <c r="K103">
        <v>-1.0150043347787019E-2</v>
      </c>
      <c r="L103" s="11">
        <f t="shared" si="2"/>
        <v>9.1193439176612289E-4</v>
      </c>
      <c r="M103" s="11">
        <f t="shared" si="3"/>
        <v>9.1193439176612268E-4</v>
      </c>
    </row>
    <row r="104" spans="1:13">
      <c r="A104" s="1">
        <v>45441</v>
      </c>
      <c r="B104">
        <v>-1.9591089208919721E-2</v>
      </c>
      <c r="C104">
        <v>-1.9409833782410013E-3</v>
      </c>
      <c r="D104">
        <v>-2.6723952560899766E-3</v>
      </c>
      <c r="E104">
        <v>8.6594685935086346E-3</v>
      </c>
      <c r="F104">
        <v>-3.5869560688238655E-3</v>
      </c>
      <c r="G104">
        <v>8.1122856881887806E-3</v>
      </c>
      <c r="H104">
        <v>-1.2862059429852968E-2</v>
      </c>
      <c r="I104">
        <v>-7.7439689316777249E-3</v>
      </c>
      <c r="J104">
        <v>-3.1683030189194605E-3</v>
      </c>
      <c r="K104">
        <v>-3.7904901694911786E-3</v>
      </c>
      <c r="L104" s="11">
        <f t="shared" si="2"/>
        <v>-3.8584491180318481E-3</v>
      </c>
      <c r="M104" s="11">
        <f t="shared" si="3"/>
        <v>-3.8584491180318481E-3</v>
      </c>
    </row>
    <row r="105" spans="1:13">
      <c r="A105" s="1">
        <v>45442</v>
      </c>
      <c r="B105">
        <v>6.4084249497811108E-3</v>
      </c>
      <c r="C105">
        <v>4.3758660942396777E-3</v>
      </c>
      <c r="D105">
        <v>-3.3786224361732842E-2</v>
      </c>
      <c r="E105">
        <v>-1.0632156097538759E-2</v>
      </c>
      <c r="F105">
        <v>1.941749395683634E-2</v>
      </c>
      <c r="G105">
        <v>-3.7666026581538503E-2</v>
      </c>
      <c r="H105">
        <v>-3.914659054280456E-3</v>
      </c>
      <c r="I105">
        <v>2.4453724126946019E-2</v>
      </c>
      <c r="J105">
        <v>1.4756744473005234E-2</v>
      </c>
      <c r="K105">
        <v>6.7286621741491359E-3</v>
      </c>
      <c r="L105" s="11">
        <f t="shared" si="2"/>
        <v>-9.8581503201330446E-4</v>
      </c>
      <c r="M105" s="11">
        <f t="shared" si="3"/>
        <v>-9.8581503201330403E-4</v>
      </c>
    </row>
    <row r="106" spans="1:13">
      <c r="A106" s="1">
        <v>45443</v>
      </c>
      <c r="B106">
        <v>2.813314390941235E-2</v>
      </c>
      <c r="C106">
        <v>1.5491367006748691E-2</v>
      </c>
      <c r="D106">
        <v>1.1093460420288359E-3</v>
      </c>
      <c r="E106">
        <v>-9.3258473238951867E-3</v>
      </c>
      <c r="F106">
        <v>1.7121541639465443E-2</v>
      </c>
      <c r="G106">
        <v>-7.8460710450232174E-3</v>
      </c>
      <c r="H106">
        <v>1.4195149293327658E-2</v>
      </c>
      <c r="I106">
        <v>1.8537104739123622E-2</v>
      </c>
      <c r="J106">
        <v>-3.9710916815223207E-3</v>
      </c>
      <c r="K106">
        <v>1.5634896315649849E-2</v>
      </c>
      <c r="L106" s="11">
        <f t="shared" si="2"/>
        <v>8.9079538895315731E-3</v>
      </c>
      <c r="M106" s="11">
        <f t="shared" si="3"/>
        <v>8.9079538895315731E-3</v>
      </c>
    </row>
    <row r="107" spans="1:13">
      <c r="A107" s="1">
        <v>45446</v>
      </c>
      <c r="B107">
        <v>3.9187020381449056E-2</v>
      </c>
      <c r="C107">
        <v>0</v>
      </c>
      <c r="D107">
        <v>-3.8783716113521827E-3</v>
      </c>
      <c r="E107">
        <v>-1.220351165710476E-2</v>
      </c>
      <c r="F107">
        <v>-2.9574278057481473E-3</v>
      </c>
      <c r="G107">
        <v>4.8954201721946422E-2</v>
      </c>
      <c r="H107">
        <v>-9.6587378703413274E-3</v>
      </c>
      <c r="I107">
        <v>2.3186338165762876E-2</v>
      </c>
      <c r="J107">
        <v>-1.0051710054564178E-2</v>
      </c>
      <c r="K107">
        <v>-9.7931492971192746E-4</v>
      </c>
      <c r="L107" s="11">
        <f t="shared" si="2"/>
        <v>7.1598486340335842E-3</v>
      </c>
      <c r="M107" s="11">
        <f t="shared" si="3"/>
        <v>7.1598486340335834E-3</v>
      </c>
    </row>
    <row r="108" spans="1:13">
      <c r="A108" s="1">
        <v>45447</v>
      </c>
      <c r="B108">
        <v>2.1942827286422162E-2</v>
      </c>
      <c r="C108">
        <v>1.6049533926529636E-2</v>
      </c>
      <c r="D108">
        <v>6.1665974077422803E-3</v>
      </c>
      <c r="E108">
        <v>-3.4238201697507353E-3</v>
      </c>
      <c r="F108">
        <v>3.6016080600471678E-3</v>
      </c>
      <c r="G108">
        <v>1.249568435767312E-2</v>
      </c>
      <c r="H108">
        <v>1.5534588993658893E-2</v>
      </c>
      <c r="I108">
        <v>8.6501996046006724E-3</v>
      </c>
      <c r="J108">
        <v>-8.6220946823960531E-3</v>
      </c>
      <c r="K108">
        <v>5.4898310899220704E-4</v>
      </c>
      <c r="L108" s="11">
        <f t="shared" si="2"/>
        <v>7.2944107893519365E-3</v>
      </c>
      <c r="M108" s="11">
        <f t="shared" si="3"/>
        <v>7.2944107893519348E-3</v>
      </c>
    </row>
    <row r="109" spans="1:13">
      <c r="A109" s="1">
        <v>45448</v>
      </c>
      <c r="B109">
        <v>6.5211060235890184E-3</v>
      </c>
      <c r="C109">
        <v>-3.1275071806002863E-4</v>
      </c>
      <c r="D109">
        <v>1.9083451816538366E-2</v>
      </c>
      <c r="E109">
        <v>2.9527286276937348E-2</v>
      </c>
      <c r="F109">
        <v>-4.4330451671633631E-3</v>
      </c>
      <c r="G109">
        <v>5.1555767412764242E-2</v>
      </c>
      <c r="H109">
        <v>-2.3001991843836223E-3</v>
      </c>
      <c r="I109">
        <v>-1.9688405751244642E-2</v>
      </c>
      <c r="J109">
        <v>1.3159908560822497E-3</v>
      </c>
      <c r="K109">
        <v>-6.1525205772380298E-3</v>
      </c>
      <c r="L109" s="11">
        <f t="shared" si="2"/>
        <v>7.5116680987821535E-3</v>
      </c>
      <c r="M109" s="11">
        <f t="shared" si="3"/>
        <v>7.5116680987821535E-3</v>
      </c>
    </row>
    <row r="110" spans="1:13">
      <c r="A110" s="1">
        <v>45449</v>
      </c>
      <c r="B110">
        <v>8.2696445349281777E-3</v>
      </c>
      <c r="C110">
        <v>3.5983155698600111E-3</v>
      </c>
      <c r="D110">
        <v>1.2026909584665901E-3</v>
      </c>
      <c r="E110">
        <v>-2.6911897326306056E-3</v>
      </c>
      <c r="F110">
        <v>1.4843083402729107E-2</v>
      </c>
      <c r="G110">
        <v>-1.1777158434042145E-2</v>
      </c>
      <c r="H110">
        <v>-1.6714753854965014E-3</v>
      </c>
      <c r="I110">
        <v>3.8195030223715509E-3</v>
      </c>
      <c r="J110">
        <v>1.6800013950891479E-2</v>
      </c>
      <c r="K110">
        <v>3.5881442593503898E-3</v>
      </c>
      <c r="L110" s="11">
        <f t="shared" si="2"/>
        <v>3.5981572146428055E-3</v>
      </c>
      <c r="M110" s="11">
        <f t="shared" si="3"/>
        <v>3.5981572146428055E-3</v>
      </c>
    </row>
    <row r="111" spans="1:13">
      <c r="A111" s="1">
        <v>45450</v>
      </c>
      <c r="B111">
        <v>-6.1644169212641264E-3</v>
      </c>
      <c r="C111">
        <v>-3.7412775534261256E-3</v>
      </c>
      <c r="D111">
        <v>-1.5782157404320429E-3</v>
      </c>
      <c r="E111">
        <v>-1.0870981027263804E-2</v>
      </c>
      <c r="F111">
        <v>8.671187545703507E-3</v>
      </c>
      <c r="G111">
        <v>-9.0909434975983139E-4</v>
      </c>
      <c r="H111">
        <v>-4.6845250360196822E-3</v>
      </c>
      <c r="I111">
        <v>-4.9094218860534777E-4</v>
      </c>
      <c r="J111">
        <v>-2.5851787543864635E-3</v>
      </c>
      <c r="K111">
        <v>3.8111789918404693E-3</v>
      </c>
      <c r="L111" s="11">
        <f t="shared" si="2"/>
        <v>-1.8542265033613448E-3</v>
      </c>
      <c r="M111" s="11">
        <f t="shared" si="3"/>
        <v>-1.8542265033613448E-3</v>
      </c>
    </row>
    <row r="112" spans="1:13">
      <c r="A112" s="1">
        <v>45453</v>
      </c>
      <c r="B112">
        <v>-6.3083669318608759E-4</v>
      </c>
      <c r="C112">
        <v>-5.006979211693019E-3</v>
      </c>
      <c r="D112">
        <v>9.4844803139635392E-3</v>
      </c>
      <c r="E112">
        <v>4.7235715392159872E-3</v>
      </c>
      <c r="F112">
        <v>-5.6965774447428341E-3</v>
      </c>
      <c r="G112">
        <v>7.4613946271395726E-3</v>
      </c>
      <c r="H112">
        <v>-3.0051408652560507E-2</v>
      </c>
      <c r="I112">
        <v>2.0876491927359631E-3</v>
      </c>
      <c r="J112">
        <v>-2.0791089307167776E-2</v>
      </c>
      <c r="K112">
        <v>5.0879417357196921E-4</v>
      </c>
      <c r="L112" s="11">
        <f t="shared" si="2"/>
        <v>-3.7911001462723197E-3</v>
      </c>
      <c r="M112" s="11">
        <f t="shared" si="3"/>
        <v>-3.7911001462723193E-3</v>
      </c>
    </row>
    <row r="113" spans="1:13">
      <c r="A113" s="1">
        <v>45454</v>
      </c>
      <c r="B113">
        <v>-2.4300416767522481E-2</v>
      </c>
      <c r="C113">
        <v>-6.2906856785216458E-4</v>
      </c>
      <c r="D113">
        <v>1.1241742711246339E-2</v>
      </c>
      <c r="E113">
        <v>6.2839220992521039E-3</v>
      </c>
      <c r="F113">
        <v>-1.3541912226456843E-3</v>
      </c>
      <c r="G113">
        <v>-7.1439910002578655E-3</v>
      </c>
      <c r="H113">
        <v>-5.0030099277557083E-3</v>
      </c>
      <c r="I113">
        <v>-2.0955851385006219E-2</v>
      </c>
      <c r="J113">
        <v>-1.801018323805148E-2</v>
      </c>
      <c r="K113">
        <v>6.2201523994587227E-3</v>
      </c>
      <c r="L113" s="11">
        <f t="shared" si="2"/>
        <v>-5.365089489913444E-3</v>
      </c>
      <c r="M113" s="11">
        <f t="shared" si="3"/>
        <v>-5.365089489913444E-3</v>
      </c>
    </row>
    <row r="114" spans="1:13">
      <c r="A114" s="1">
        <v>45455</v>
      </c>
      <c r="B114">
        <v>-1.5256074560943356E-2</v>
      </c>
      <c r="C114">
        <v>-1.0542877368974968E-2</v>
      </c>
      <c r="D114">
        <v>1.9367694080455244E-2</v>
      </c>
      <c r="E114">
        <v>2.3282858592961198E-3</v>
      </c>
      <c r="F114">
        <v>-2.2843560982628186E-2</v>
      </c>
      <c r="G114">
        <v>3.5480916354325931E-2</v>
      </c>
      <c r="H114">
        <v>-7.5121179727263288E-3</v>
      </c>
      <c r="I114">
        <v>-6.3838710893016071E-3</v>
      </c>
      <c r="J114">
        <v>3.8849112163092059E-2</v>
      </c>
      <c r="K114">
        <v>-5.0541590591443031E-3</v>
      </c>
      <c r="L114" s="11">
        <f t="shared" si="2"/>
        <v>2.8433347423450612E-3</v>
      </c>
      <c r="M114" s="11">
        <f t="shared" si="3"/>
        <v>2.8433347423450607E-3</v>
      </c>
    </row>
    <row r="115" spans="1:13">
      <c r="A115" s="1">
        <v>45456</v>
      </c>
      <c r="B115">
        <v>-1.0784481526523226E-2</v>
      </c>
      <c r="C115">
        <v>1.7494405024736093E-3</v>
      </c>
      <c r="D115">
        <v>1.1789280811325131E-3</v>
      </c>
      <c r="E115">
        <v>4.9226413239551459E-3</v>
      </c>
      <c r="F115">
        <v>5.3373713489777153E-3</v>
      </c>
      <c r="G115">
        <v>3.5223582617816218E-2</v>
      </c>
      <c r="H115">
        <v>-3.0517234988315378E-3</v>
      </c>
      <c r="I115">
        <v>1.0834004911410178E-2</v>
      </c>
      <c r="J115">
        <v>2.9217711832223436E-2</v>
      </c>
      <c r="K115">
        <v>-2.3446129551740746E-4</v>
      </c>
      <c r="L115" s="11">
        <f t="shared" si="2"/>
        <v>7.4393014297116644E-3</v>
      </c>
      <c r="M115" s="11">
        <f t="shared" si="3"/>
        <v>7.4393014297116644E-3</v>
      </c>
    </row>
    <row r="116" spans="1:13">
      <c r="A116" s="1">
        <v>45457</v>
      </c>
      <c r="B116">
        <v>-1.8981697474872883E-2</v>
      </c>
      <c r="C116">
        <v>7.1979818765877113E-4</v>
      </c>
      <c r="D116">
        <v>2.2419846125245613E-3</v>
      </c>
      <c r="E116">
        <v>2.4676231326283826E-2</v>
      </c>
      <c r="F116">
        <v>-8.3881612018354978E-3</v>
      </c>
      <c r="G116">
        <v>1.7514230216365778E-2</v>
      </c>
      <c r="H116">
        <v>2.9386766446768409E-3</v>
      </c>
      <c r="I116">
        <v>-7.3528637879822778E-3</v>
      </c>
      <c r="J116">
        <v>-2.4442410719740737E-2</v>
      </c>
      <c r="K116">
        <v>-2.2279046648331358E-3</v>
      </c>
      <c r="L116" s="11">
        <f t="shared" si="2"/>
        <v>-1.330211686175476E-3</v>
      </c>
      <c r="M116" s="11">
        <f t="shared" si="3"/>
        <v>-1.3302116861754754E-3</v>
      </c>
    </row>
    <row r="117" spans="1:13">
      <c r="A117" s="1">
        <v>45460</v>
      </c>
      <c r="B117">
        <v>6.3180182218904868E-3</v>
      </c>
      <c r="C117">
        <v>1.1191248066133586E-3</v>
      </c>
      <c r="D117">
        <v>1.3105246858400532E-2</v>
      </c>
      <c r="E117">
        <v>9.635800531807126E-3</v>
      </c>
      <c r="F117">
        <v>1.723958379402224E-2</v>
      </c>
      <c r="G117">
        <v>-6.8244114489077745E-3</v>
      </c>
      <c r="H117">
        <v>1.4223805691528701E-2</v>
      </c>
      <c r="I117">
        <v>2.1092298021411215E-2</v>
      </c>
      <c r="J117">
        <v>5.2974598199928113E-2</v>
      </c>
      <c r="K117">
        <v>4.7006771989293039E-3</v>
      </c>
      <c r="L117" s="11">
        <f t="shared" si="2"/>
        <v>1.3358474187562332E-2</v>
      </c>
      <c r="M117" s="11">
        <f t="shared" si="3"/>
        <v>1.3358474187562331E-2</v>
      </c>
    </row>
    <row r="118" spans="1:13">
      <c r="A118" s="1">
        <v>45461</v>
      </c>
      <c r="B118">
        <v>-1.9059330164902244E-2</v>
      </c>
      <c r="C118">
        <v>1.5969625233691609E-4</v>
      </c>
      <c r="D118">
        <v>-4.5275160813487147E-3</v>
      </c>
      <c r="E118">
        <v>1.4559823582096065E-2</v>
      </c>
      <c r="F118">
        <v>-2.3158252047847938E-3</v>
      </c>
      <c r="G118">
        <v>3.5119817228256078E-2</v>
      </c>
      <c r="H118">
        <v>2.0464596505012089E-3</v>
      </c>
      <c r="I118">
        <v>-1.3894071430199939E-2</v>
      </c>
      <c r="J118">
        <v>-1.3764414198946251E-2</v>
      </c>
      <c r="K118">
        <v>-3.8989035122668492E-3</v>
      </c>
      <c r="L118" s="11">
        <f t="shared" si="2"/>
        <v>-5.5742638792585233E-4</v>
      </c>
      <c r="M118" s="11">
        <f t="shared" si="3"/>
        <v>-5.5742638792585233E-4</v>
      </c>
    </row>
    <row r="119" spans="1:13">
      <c r="A119" s="1">
        <v>45463</v>
      </c>
      <c r="B119">
        <v>7.4861278785671725E-3</v>
      </c>
      <c r="C119">
        <v>-7.1850585287036584E-3</v>
      </c>
      <c r="D119">
        <v>-1.4338875328386846E-3</v>
      </c>
      <c r="E119">
        <v>-9.6838913453661801E-3</v>
      </c>
      <c r="F119">
        <v>8.335142210645019E-3</v>
      </c>
      <c r="G119">
        <v>-3.5403399806252844E-2</v>
      </c>
      <c r="H119">
        <v>1.201296594775414E-3</v>
      </c>
      <c r="I119">
        <v>-5.9849874160621264E-3</v>
      </c>
      <c r="J119">
        <v>-1.7797215597048721E-2</v>
      </c>
      <c r="K119">
        <v>1.7457482680285352E-2</v>
      </c>
      <c r="L119" s="11">
        <f t="shared" si="2"/>
        <v>-4.3008390861999264E-3</v>
      </c>
      <c r="M119" s="11">
        <f t="shared" si="3"/>
        <v>-4.3008390861999255E-3</v>
      </c>
    </row>
    <row r="120" spans="1:13">
      <c r="A120" s="1">
        <v>45464</v>
      </c>
      <c r="B120">
        <v>1.4747277500595235E-3</v>
      </c>
      <c r="C120">
        <v>9.4886254068167197E-3</v>
      </c>
      <c r="D120">
        <v>9.1541935544394715E-3</v>
      </c>
      <c r="E120">
        <v>1.0441314101606869E-2</v>
      </c>
      <c r="F120">
        <v>1.6846257555072963E-2</v>
      </c>
      <c r="G120">
        <v>-3.2191589446049829E-2</v>
      </c>
      <c r="H120">
        <v>3.5998502790171027E-3</v>
      </c>
      <c r="I120">
        <v>2.3834361048533648E-3</v>
      </c>
      <c r="J120">
        <v>7.9307546650351224E-3</v>
      </c>
      <c r="K120">
        <v>9.5020110605945618E-3</v>
      </c>
      <c r="L120" s="11">
        <f t="shared" si="2"/>
        <v>3.8629581031445867E-3</v>
      </c>
      <c r="M120" s="11">
        <f t="shared" si="3"/>
        <v>3.8629581031445872E-3</v>
      </c>
    </row>
    <row r="121" spans="1:13">
      <c r="A121" s="1">
        <v>45467</v>
      </c>
      <c r="B121">
        <v>1.4386092999797873E-2</v>
      </c>
      <c r="C121">
        <v>1.9117379473985174E-2</v>
      </c>
      <c r="D121">
        <v>-4.6911536399656395E-3</v>
      </c>
      <c r="E121">
        <v>-2.492271863176998E-2</v>
      </c>
      <c r="F121">
        <v>-1.0288519599921386E-4</v>
      </c>
      <c r="G121">
        <v>-6.6840430875905299E-2</v>
      </c>
      <c r="H121">
        <v>4.7823947066762962E-3</v>
      </c>
      <c r="I121">
        <v>-2.2526128155850866E-3</v>
      </c>
      <c r="J121">
        <v>-2.3495584322578145E-3</v>
      </c>
      <c r="K121">
        <v>1.5357684726916343E-2</v>
      </c>
      <c r="L121" s="11">
        <f t="shared" si="2"/>
        <v>-4.7515807684107344E-3</v>
      </c>
      <c r="M121" s="11">
        <f t="shared" si="3"/>
        <v>-4.7515807684107344E-3</v>
      </c>
    </row>
    <row r="122" spans="1:13">
      <c r="A122" s="1">
        <v>45468</v>
      </c>
      <c r="B122">
        <v>-2.2333890919512878E-2</v>
      </c>
      <c r="C122">
        <v>-2.0321776394549573E-3</v>
      </c>
      <c r="D122">
        <v>7.3267375293490922E-3</v>
      </c>
      <c r="E122">
        <v>5.0670436075384018E-3</v>
      </c>
      <c r="F122">
        <v>-2.4904869520849915E-2</v>
      </c>
      <c r="G122">
        <v>6.7564054723352696E-2</v>
      </c>
      <c r="H122">
        <v>-4.3431903179222964E-3</v>
      </c>
      <c r="I122">
        <v>-5.644050189560712E-3</v>
      </c>
      <c r="J122">
        <v>2.612555715096776E-2</v>
      </c>
      <c r="K122">
        <v>-1.2648247169161797E-2</v>
      </c>
      <c r="L122" s="11">
        <f t="shared" si="2"/>
        <v>3.4176967254745403E-3</v>
      </c>
      <c r="M122" s="11">
        <f t="shared" si="3"/>
        <v>3.4176967254745394E-3</v>
      </c>
    </row>
    <row r="123" spans="1:13">
      <c r="A123" s="1">
        <v>45469</v>
      </c>
      <c r="B123">
        <v>1.9417440194005486E-2</v>
      </c>
      <c r="C123">
        <v>3.2894710542104022E-3</v>
      </c>
      <c r="D123">
        <v>2.6831831511338056E-3</v>
      </c>
      <c r="E123">
        <v>7.8523958712017894E-3</v>
      </c>
      <c r="F123">
        <v>-7.2822964224704689E-3</v>
      </c>
      <c r="G123">
        <v>2.4587135617428757E-3</v>
      </c>
      <c r="H123">
        <v>-3.6450672899169811E-3</v>
      </c>
      <c r="I123">
        <v>-1.6397604578740621E-3</v>
      </c>
      <c r="J123">
        <v>4.8145122603776347E-2</v>
      </c>
      <c r="K123">
        <v>2.2047336068584666E-3</v>
      </c>
      <c r="L123" s="11">
        <f t="shared" si="2"/>
        <v>7.3483935872667664E-3</v>
      </c>
      <c r="M123" s="11">
        <f t="shared" si="3"/>
        <v>7.3483935872667664E-3</v>
      </c>
    </row>
    <row r="124" spans="1:13">
      <c r="A124" s="1">
        <v>45470</v>
      </c>
      <c r="B124">
        <v>2.246495522036418E-2</v>
      </c>
      <c r="C124">
        <v>-2.1858314744643836E-3</v>
      </c>
      <c r="D124">
        <v>1.5260840746575965E-3</v>
      </c>
      <c r="E124">
        <v>9.8127822309683754E-3</v>
      </c>
      <c r="F124">
        <v>1.3820388308092291E-3</v>
      </c>
      <c r="G124">
        <v>-1.9066528923867287E-2</v>
      </c>
      <c r="H124">
        <v>-2.8787677599256822E-3</v>
      </c>
      <c r="I124">
        <v>1.137121320569312E-3</v>
      </c>
      <c r="J124">
        <v>5.3470646120421517E-3</v>
      </c>
      <c r="K124">
        <v>1.4412502819745043E-3</v>
      </c>
      <c r="L124" s="11">
        <f t="shared" si="2"/>
        <v>1.8980168413127998E-3</v>
      </c>
      <c r="M124" s="11">
        <f t="shared" si="3"/>
        <v>1.8980168413127996E-3</v>
      </c>
    </row>
    <row r="125" spans="1:13">
      <c r="A125" s="1">
        <v>45471</v>
      </c>
      <c r="B125">
        <v>-2.7395759961039712E-3</v>
      </c>
      <c r="C125">
        <v>-4.0681710462580067E-3</v>
      </c>
      <c r="D125">
        <v>-1.3028581595175059E-2</v>
      </c>
      <c r="E125">
        <v>-1.3823569572752548E-2</v>
      </c>
      <c r="F125">
        <v>-0.19980871267435685</v>
      </c>
      <c r="G125">
        <v>-3.6292773482994312E-3</v>
      </c>
      <c r="H125">
        <v>-7.9993927546027077E-3</v>
      </c>
      <c r="I125">
        <v>-1.7541711151687012E-2</v>
      </c>
      <c r="J125">
        <v>2.3300917745594507E-3</v>
      </c>
      <c r="K125">
        <v>-3.838154813671113E-3</v>
      </c>
      <c r="L125" s="11">
        <f t="shared" si="2"/>
        <v>-2.6414705517834727E-2</v>
      </c>
      <c r="M125" s="11">
        <f t="shared" si="3"/>
        <v>-2.6414705517834723E-2</v>
      </c>
    </row>
    <row r="126" spans="1:13">
      <c r="A126" s="1">
        <v>45474</v>
      </c>
      <c r="B126">
        <v>2.5767829146497112E-2</v>
      </c>
      <c r="C126">
        <v>-5.8130823653657071E-3</v>
      </c>
      <c r="D126">
        <v>2.1881662076925101E-2</v>
      </c>
      <c r="E126">
        <v>-1.8818449532677084E-3</v>
      </c>
      <c r="F126">
        <v>1.9370966514522525E-2</v>
      </c>
      <c r="G126">
        <v>6.1518371990436638E-3</v>
      </c>
      <c r="H126">
        <v>-1.2369030439304374E-2</v>
      </c>
      <c r="I126">
        <v>-9.2486782329211925E-3</v>
      </c>
      <c r="J126">
        <v>6.0541719385108106E-2</v>
      </c>
      <c r="K126">
        <v>-1.0375917215961428E-2</v>
      </c>
      <c r="L126" s="11">
        <f t="shared" si="2"/>
        <v>9.4025461115276095E-3</v>
      </c>
      <c r="M126" s="11">
        <f t="shared" si="3"/>
        <v>9.4025461115276095E-3</v>
      </c>
    </row>
    <row r="127" spans="1:13">
      <c r="A127" s="1">
        <v>45475</v>
      </c>
      <c r="B127">
        <v>-6.8559121597191464E-3</v>
      </c>
      <c r="C127">
        <v>-2.0542743132820895E-3</v>
      </c>
      <c r="D127">
        <v>5.5831241283306188E-3</v>
      </c>
      <c r="E127">
        <v>8.8627423406810735E-3</v>
      </c>
      <c r="F127">
        <v>-1.0282402174770833E-2</v>
      </c>
      <c r="G127">
        <v>-1.3113502982882053E-2</v>
      </c>
      <c r="H127">
        <v>4.2360383357056275E-3</v>
      </c>
      <c r="I127">
        <v>-3.8895050073891602E-3</v>
      </c>
      <c r="J127">
        <v>0.10197271435359223</v>
      </c>
      <c r="K127">
        <v>1.033059056070762E-2</v>
      </c>
      <c r="L127" s="11">
        <f t="shared" si="2"/>
        <v>9.4789613080973889E-3</v>
      </c>
      <c r="M127" s="11">
        <f t="shared" si="3"/>
        <v>9.4789613080973889E-3</v>
      </c>
    </row>
    <row r="128" spans="1:13">
      <c r="A128" s="1">
        <v>45476</v>
      </c>
      <c r="B128">
        <v>-5.9864125839361737E-3</v>
      </c>
      <c r="C128">
        <v>2.8503449822057103E-3</v>
      </c>
      <c r="D128">
        <v>3.2441523972270847E-3</v>
      </c>
      <c r="E128">
        <v>4.3114756203825877E-3</v>
      </c>
      <c r="F128">
        <v>-1.0520819348378452E-2</v>
      </c>
      <c r="G128">
        <v>4.5732472854114858E-2</v>
      </c>
      <c r="H128">
        <v>-5.9908629358199628E-3</v>
      </c>
      <c r="I128">
        <v>-7.4188645339944292E-3</v>
      </c>
      <c r="J128">
        <v>6.5424220540513112E-2</v>
      </c>
      <c r="K128">
        <v>-6.7150261313320136E-3</v>
      </c>
      <c r="L128" s="11">
        <f t="shared" si="2"/>
        <v>8.4930680860982322E-3</v>
      </c>
      <c r="M128" s="11">
        <f t="shared" si="3"/>
        <v>8.4930680860982322E-3</v>
      </c>
    </row>
    <row r="129" spans="1:13">
      <c r="A129" s="1">
        <v>45478</v>
      </c>
      <c r="B129">
        <v>2.8213568409152234E-3</v>
      </c>
      <c r="C129">
        <v>6.7897662862972386E-3</v>
      </c>
      <c r="D129">
        <v>1.4736146750000012E-2</v>
      </c>
      <c r="E129">
        <v>1.1926586470478728E-2</v>
      </c>
      <c r="F129">
        <v>2.5252585409638595E-3</v>
      </c>
      <c r="G129">
        <v>-1.9098847340459635E-2</v>
      </c>
      <c r="H129">
        <v>1.1008578610875341E-2</v>
      </c>
      <c r="I129">
        <v>-2.7537653300994114E-3</v>
      </c>
      <c r="J129">
        <v>2.0820670057713153E-2</v>
      </c>
      <c r="K129">
        <v>4.8782055470613095E-3</v>
      </c>
      <c r="L129" s="11">
        <f t="shared" si="2"/>
        <v>5.3653956433745821E-3</v>
      </c>
      <c r="M129" s="11">
        <f t="shared" si="3"/>
        <v>5.3653956433745821E-3</v>
      </c>
    </row>
    <row r="130" spans="1:13">
      <c r="A130" s="1">
        <v>45481</v>
      </c>
      <c r="B130">
        <v>5.4644511000936369E-3</v>
      </c>
      <c r="C130">
        <v>-1.2547091542466249E-2</v>
      </c>
      <c r="D130">
        <v>-2.8230582488686373E-3</v>
      </c>
      <c r="E130">
        <v>-7.109294152060075E-3</v>
      </c>
      <c r="F130">
        <v>-3.1552496819480136E-2</v>
      </c>
      <c r="G130">
        <v>1.8834843025184567E-2</v>
      </c>
      <c r="H130">
        <v>-1.3808725975014702E-2</v>
      </c>
      <c r="I130">
        <v>-1.9460786465916535E-2</v>
      </c>
      <c r="J130">
        <v>5.6456669244000501E-3</v>
      </c>
      <c r="K130">
        <v>-7.1479611435114609E-3</v>
      </c>
      <c r="L130" s="11">
        <f t="shared" si="2"/>
        <v>-6.450445329763954E-3</v>
      </c>
      <c r="M130" s="11">
        <f t="shared" si="3"/>
        <v>-6.450445329763954E-3</v>
      </c>
    </row>
    <row r="131" spans="1:13">
      <c r="A131" s="1">
        <v>45482</v>
      </c>
      <c r="B131">
        <v>-1.3990480499142643E-2</v>
      </c>
      <c r="C131">
        <v>-4.288389400999737E-3</v>
      </c>
      <c r="D131">
        <v>-1.4370336463847222E-2</v>
      </c>
      <c r="E131">
        <v>0</v>
      </c>
      <c r="F131">
        <v>-8.0767413106485053E-3</v>
      </c>
      <c r="G131">
        <v>2.4805153814215997E-2</v>
      </c>
      <c r="H131">
        <v>-1.3569057087140513E-3</v>
      </c>
      <c r="I131">
        <v>-2.4406740488831513E-2</v>
      </c>
      <c r="J131">
        <v>3.7123365383987528E-2</v>
      </c>
      <c r="K131">
        <v>-9.2400312604923318E-3</v>
      </c>
      <c r="L131" s="11">
        <f t="shared" si="2"/>
        <v>-1.3801105934472483E-3</v>
      </c>
      <c r="M131" s="11">
        <f t="shared" si="3"/>
        <v>-1.3801105934472479E-3</v>
      </c>
    </row>
    <row r="132" spans="1:13">
      <c r="A132" s="1">
        <v>45483</v>
      </c>
      <c r="B132">
        <v>2.6740352525982392E-3</v>
      </c>
      <c r="C132">
        <v>2.2332510399518668E-3</v>
      </c>
      <c r="D132">
        <v>1.4601602260868818E-2</v>
      </c>
      <c r="E132">
        <v>-1.1797424585881178E-2</v>
      </c>
      <c r="F132">
        <v>1.1042017095936885E-3</v>
      </c>
      <c r="G132">
        <v>2.6868621550219407E-2</v>
      </c>
      <c r="H132">
        <v>1.043843844430592E-2</v>
      </c>
      <c r="I132">
        <v>-3.2989415913637909E-3</v>
      </c>
      <c r="J132">
        <v>3.5452416458832126E-3</v>
      </c>
      <c r="K132">
        <v>3.1865755808595519E-3</v>
      </c>
      <c r="L132" s="11">
        <f t="shared" ref="L132:L195" si="4">SUMPRODUCT(B132:K132,$P$2:$Y$2)</f>
        <v>4.9555601307035733E-3</v>
      </c>
      <c r="M132" s="11">
        <f t="shared" ref="M132:M195" si="5">SUM(B132:K132)/10</f>
        <v>4.9555601307035733E-3</v>
      </c>
    </row>
    <row r="133" spans="1:13">
      <c r="A133" s="1">
        <v>45484</v>
      </c>
      <c r="B133">
        <v>9.7974167939862689E-4</v>
      </c>
      <c r="C133">
        <v>4.2971995339489144E-3</v>
      </c>
      <c r="D133">
        <v>-2.4772133452184653E-2</v>
      </c>
      <c r="E133">
        <v>-3.6744666888475552E-2</v>
      </c>
      <c r="F133">
        <v>1.1717604779431623E-2</v>
      </c>
      <c r="G133">
        <v>-5.5666746241231579E-2</v>
      </c>
      <c r="H133">
        <v>2.2006498896935955E-3</v>
      </c>
      <c r="I133">
        <v>1.0895083716008225E-2</v>
      </c>
      <c r="J133">
        <v>-8.4441275399632199E-2</v>
      </c>
      <c r="K133">
        <v>1.4797000980090402E-2</v>
      </c>
      <c r="L133" s="11">
        <f t="shared" si="4"/>
        <v>-1.567375414029526E-2</v>
      </c>
      <c r="M133" s="11">
        <f t="shared" si="5"/>
        <v>-1.567375414029526E-2</v>
      </c>
    </row>
    <row r="134" spans="1:13">
      <c r="A134" s="1">
        <v>45485</v>
      </c>
      <c r="B134">
        <v>-8.6999405777601346E-3</v>
      </c>
      <c r="C134">
        <v>9.5088250899220128E-3</v>
      </c>
      <c r="D134">
        <v>-2.5291074596079932E-3</v>
      </c>
      <c r="E134">
        <v>-7.8897348357915842E-3</v>
      </c>
      <c r="F134">
        <v>4.08815159163467E-4</v>
      </c>
      <c r="G134">
        <v>1.4442800404950606E-2</v>
      </c>
      <c r="H134">
        <v>1.4821672770497729E-2</v>
      </c>
      <c r="I134">
        <v>2.0873108996900758E-2</v>
      </c>
      <c r="J134">
        <v>2.9871787680818329E-2</v>
      </c>
      <c r="K134">
        <v>8.5119360960193013E-3</v>
      </c>
      <c r="L134" s="11">
        <f t="shared" si="4"/>
        <v>7.9320163325112495E-3</v>
      </c>
      <c r="M134" s="11">
        <f t="shared" si="5"/>
        <v>7.9320163325112495E-3</v>
      </c>
    </row>
    <row r="135" spans="1:13">
      <c r="A135" s="1">
        <v>45488</v>
      </c>
      <c r="B135">
        <v>-1.7552503927896534E-2</v>
      </c>
      <c r="C135">
        <v>-4.5526716428019309E-3</v>
      </c>
      <c r="D135">
        <v>9.0400280753999418E-4</v>
      </c>
      <c r="E135">
        <v>1.3665900177168178E-2</v>
      </c>
      <c r="F135">
        <v>-2.8738787784161168E-2</v>
      </c>
      <c r="G135">
        <v>-6.1901226131506615E-3</v>
      </c>
      <c r="H135">
        <v>-1.5146136113239894E-2</v>
      </c>
      <c r="I135">
        <v>-2.7796384171108746E-2</v>
      </c>
      <c r="J135">
        <v>1.7765796793347555E-2</v>
      </c>
      <c r="K135">
        <v>-3.330583067626014E-3</v>
      </c>
      <c r="L135" s="11">
        <f t="shared" si="4"/>
        <v>-7.0971489541929228E-3</v>
      </c>
      <c r="M135" s="11">
        <f t="shared" si="5"/>
        <v>-7.0971489541929219E-3</v>
      </c>
    </row>
    <row r="136" spans="1:13">
      <c r="A136" s="1">
        <v>45489</v>
      </c>
      <c r="B136">
        <v>3.8747152128617124E-2</v>
      </c>
      <c r="C136">
        <v>1.3562525429192229E-2</v>
      </c>
      <c r="D136">
        <v>-9.7806008475308515E-3</v>
      </c>
      <c r="E136">
        <v>-1.9804231913411741E-4</v>
      </c>
      <c r="F136">
        <v>2.1034905872344689E-2</v>
      </c>
      <c r="G136">
        <v>-1.6194410648117663E-2</v>
      </c>
      <c r="H136">
        <v>5.4924628110990525E-3</v>
      </c>
      <c r="I136">
        <v>3.7938258242248946E-2</v>
      </c>
      <c r="J136">
        <v>1.5516142251485565E-2</v>
      </c>
      <c r="K136">
        <v>3.7596761716844895E-3</v>
      </c>
      <c r="L136" s="11">
        <f t="shared" si="4"/>
        <v>1.0987806909188946E-2</v>
      </c>
      <c r="M136" s="11">
        <f t="shared" si="5"/>
        <v>1.0987806909188946E-2</v>
      </c>
    </row>
    <row r="137" spans="1:13">
      <c r="A137" s="1">
        <v>45490</v>
      </c>
      <c r="B137">
        <v>-6.5036640366534781E-3</v>
      </c>
      <c r="C137">
        <v>1.4625876833274543E-2</v>
      </c>
      <c r="D137">
        <v>-1.3347632796676834E-2</v>
      </c>
      <c r="E137">
        <v>-1.349948996326289E-2</v>
      </c>
      <c r="F137">
        <v>3.5708960890967756E-3</v>
      </c>
      <c r="G137">
        <v>-6.6239307334586495E-2</v>
      </c>
      <c r="H137">
        <v>3.1136187742238697E-2</v>
      </c>
      <c r="I137">
        <v>-5.4298884322275809E-3</v>
      </c>
      <c r="J137">
        <v>-3.14156440415162E-2</v>
      </c>
      <c r="K137">
        <v>1.1917268019744132E-2</v>
      </c>
      <c r="L137" s="11">
        <f t="shared" si="4"/>
        <v>-7.5185397920569351E-3</v>
      </c>
      <c r="M137" s="11">
        <f t="shared" si="5"/>
        <v>-7.5185397920569334E-3</v>
      </c>
    </row>
    <row r="138" spans="1:13">
      <c r="A138" s="1">
        <v>45491</v>
      </c>
      <c r="B138">
        <v>-2.4940492867809083E-2</v>
      </c>
      <c r="C138">
        <v>-3.0682732954823155E-4</v>
      </c>
      <c r="D138">
        <v>-7.1022836593874761E-3</v>
      </c>
      <c r="E138">
        <v>-6.8267441931723072E-3</v>
      </c>
      <c r="F138">
        <v>-9.4429672125623254E-3</v>
      </c>
      <c r="G138">
        <v>2.6273421196658653E-2</v>
      </c>
      <c r="H138">
        <v>2.8252984245318302E-3</v>
      </c>
      <c r="I138">
        <v>-1.2116989816242651E-2</v>
      </c>
      <c r="J138">
        <v>2.9376085615251402E-3</v>
      </c>
      <c r="K138">
        <v>-3.1032292051914601E-3</v>
      </c>
      <c r="L138" s="11">
        <f t="shared" si="4"/>
        <v>-3.1803206101197919E-3</v>
      </c>
      <c r="M138" s="11">
        <f t="shared" si="5"/>
        <v>-3.180320610119791E-3</v>
      </c>
    </row>
    <row r="139" spans="1:13">
      <c r="A139" s="1">
        <v>45492</v>
      </c>
      <c r="B139">
        <v>-3.107127403146448E-3</v>
      </c>
      <c r="C139">
        <v>1.5341256838730111E-3</v>
      </c>
      <c r="D139">
        <v>-7.4028730362328821E-3</v>
      </c>
      <c r="E139">
        <v>-1.5084522740921313E-2</v>
      </c>
      <c r="F139">
        <v>4.4211499856530168E-3</v>
      </c>
      <c r="G139">
        <v>-2.6096247085689139E-2</v>
      </c>
      <c r="H139">
        <v>-5.9281905865407047E-3</v>
      </c>
      <c r="I139">
        <v>6.84727509012939E-2</v>
      </c>
      <c r="J139">
        <v>-4.0243947162210469E-2</v>
      </c>
      <c r="K139">
        <v>-1.3163868346957486E-2</v>
      </c>
      <c r="L139" s="11">
        <f t="shared" si="4"/>
        <v>-3.6598749790878529E-3</v>
      </c>
      <c r="M139" s="11">
        <f t="shared" si="5"/>
        <v>-3.6598749790878516E-3</v>
      </c>
    </row>
    <row r="140" spans="1:13">
      <c r="A140" s="1">
        <v>45495</v>
      </c>
      <c r="B140">
        <v>-4.2856585980312056E-3</v>
      </c>
      <c r="C140">
        <v>-7.9645483396365568E-3</v>
      </c>
      <c r="D140">
        <v>1.3337681086009301E-2</v>
      </c>
      <c r="E140">
        <v>2.2357616042106621E-2</v>
      </c>
      <c r="F140">
        <v>2.9711162645014833E-2</v>
      </c>
      <c r="G140">
        <v>4.7570610207843922E-2</v>
      </c>
      <c r="H140">
        <v>-1.0037660603360976E-2</v>
      </c>
      <c r="I140">
        <v>-3.4313147645298137E-2</v>
      </c>
      <c r="J140">
        <v>5.1463201152367244E-2</v>
      </c>
      <c r="K140">
        <v>8.7788553743954889E-3</v>
      </c>
      <c r="L140" s="11">
        <f t="shared" si="4"/>
        <v>1.1661811132141056E-2</v>
      </c>
      <c r="M140" s="11">
        <f t="shared" si="5"/>
        <v>1.1661811132141053E-2</v>
      </c>
    </row>
    <row r="141" spans="1:13">
      <c r="A141" s="1">
        <v>45496</v>
      </c>
      <c r="B141">
        <v>4.2370050808615334E-2</v>
      </c>
      <c r="C141">
        <v>2.9333882455828686E-3</v>
      </c>
      <c r="D141">
        <v>4.3120490564121372E-3</v>
      </c>
      <c r="E141">
        <v>-7.3204482384170433E-3</v>
      </c>
      <c r="F141">
        <v>-1.9503042392581604E-2</v>
      </c>
      <c r="G141">
        <v>-7.689935494763267E-3</v>
      </c>
      <c r="H141">
        <v>-8.2310411424726393E-3</v>
      </c>
      <c r="I141">
        <v>-3.7883249190892032E-3</v>
      </c>
      <c r="J141">
        <v>-2.0396762498770649E-2</v>
      </c>
      <c r="K141">
        <v>3.6167387451744304E-3</v>
      </c>
      <c r="L141" s="11">
        <f t="shared" si="4"/>
        <v>-1.369732783030963E-3</v>
      </c>
      <c r="M141" s="11">
        <f t="shared" si="5"/>
        <v>-1.3697327830309637E-3</v>
      </c>
    </row>
    <row r="142" spans="1:13">
      <c r="A142" s="1">
        <v>45497</v>
      </c>
      <c r="B142">
        <v>-3.4373597973942793E-2</v>
      </c>
      <c r="C142">
        <v>1.3085029725572017E-2</v>
      </c>
      <c r="D142">
        <v>-3.5854785743195783E-2</v>
      </c>
      <c r="E142">
        <v>-1.0532732946031631E-2</v>
      </c>
      <c r="F142">
        <v>-3.1471396979406485E-2</v>
      </c>
      <c r="G142">
        <v>-6.8031638591967702E-2</v>
      </c>
      <c r="H142">
        <v>1.1366410720317743E-2</v>
      </c>
      <c r="I142">
        <v>-2.0718659333819556E-2</v>
      </c>
      <c r="J142">
        <v>-0.12334604589403531</v>
      </c>
      <c r="K142">
        <v>2.2521997886857381E-3</v>
      </c>
      <c r="L142" s="11">
        <f t="shared" si="4"/>
        <v>-2.9762521722782376E-2</v>
      </c>
      <c r="M142" s="11">
        <f t="shared" si="5"/>
        <v>-2.9762521722782376E-2</v>
      </c>
    </row>
    <row r="143" spans="1:13">
      <c r="A143" s="1">
        <v>45498</v>
      </c>
      <c r="B143">
        <v>2.3768526713006777E-2</v>
      </c>
      <c r="C143">
        <v>3.9507189867069581E-3</v>
      </c>
      <c r="D143">
        <v>-2.4481220758595934E-2</v>
      </c>
      <c r="E143">
        <v>-2.9874108210521388E-3</v>
      </c>
      <c r="F143">
        <v>4.5012662346275434E-3</v>
      </c>
      <c r="G143">
        <v>-1.7242869622854484E-2</v>
      </c>
      <c r="H143">
        <v>1.694715061554497E-2</v>
      </c>
      <c r="I143">
        <v>-1.8211056345556975E-2</v>
      </c>
      <c r="J143">
        <v>1.9723109396239336E-2</v>
      </c>
      <c r="K143">
        <v>3.9700492499651796E-2</v>
      </c>
      <c r="L143" s="11">
        <f t="shared" si="4"/>
        <v>4.5668706897717846E-3</v>
      </c>
      <c r="M143" s="11">
        <f t="shared" si="5"/>
        <v>4.5668706897717846E-3</v>
      </c>
    </row>
    <row r="144" spans="1:13">
      <c r="A144" s="1">
        <v>45499</v>
      </c>
      <c r="B144">
        <v>1.3778102533431813E-2</v>
      </c>
      <c r="C144">
        <v>1.4832901367658469E-2</v>
      </c>
      <c r="D144">
        <v>1.6419669353163968E-2</v>
      </c>
      <c r="E144">
        <v>-4.2896617563438211E-3</v>
      </c>
      <c r="F144">
        <v>1.6104094295295246E-2</v>
      </c>
      <c r="G144">
        <v>6.9468593096979614E-3</v>
      </c>
      <c r="H144">
        <v>1.0115649698225981E-2</v>
      </c>
      <c r="I144">
        <v>9.9565039518010323E-3</v>
      </c>
      <c r="J144">
        <v>-2.043118947754885E-3</v>
      </c>
      <c r="K144">
        <v>1.9776628912479888E-2</v>
      </c>
      <c r="L144" s="11">
        <f t="shared" si="4"/>
        <v>1.0159762871765567E-2</v>
      </c>
      <c r="M144" s="11">
        <f t="shared" si="5"/>
        <v>1.0159762871765565E-2</v>
      </c>
    </row>
    <row r="145" spans="1:13">
      <c r="A145" s="1">
        <v>45502</v>
      </c>
      <c r="B145">
        <v>-7.8121179230304927E-3</v>
      </c>
      <c r="C145">
        <v>-3.2811920833053509E-3</v>
      </c>
      <c r="D145">
        <v>3.4331656762403018E-3</v>
      </c>
      <c r="E145">
        <v>-6.9847683270291006E-3</v>
      </c>
      <c r="F145">
        <v>1.3644039836099076E-2</v>
      </c>
      <c r="G145">
        <v>-1.3001947642676592E-2</v>
      </c>
      <c r="H145">
        <v>2.6629921177663274E-3</v>
      </c>
      <c r="I145">
        <v>1.55299333959249E-2</v>
      </c>
      <c r="J145">
        <v>5.5959976710562964E-2</v>
      </c>
      <c r="K145">
        <v>-1.4695023141394148E-2</v>
      </c>
      <c r="L145" s="11">
        <f t="shared" si="4"/>
        <v>4.5455058619157888E-3</v>
      </c>
      <c r="M145" s="11">
        <f t="shared" si="5"/>
        <v>4.5455058619157888E-3</v>
      </c>
    </row>
    <row r="146" spans="1:13">
      <c r="A146" s="1">
        <v>45503</v>
      </c>
      <c r="B146">
        <v>7.7118480885145502E-3</v>
      </c>
      <c r="C146">
        <v>1.2718890500465152E-2</v>
      </c>
      <c r="D146">
        <v>-8.9283494479990289E-3</v>
      </c>
      <c r="E146">
        <v>-6.9860991599303146E-3</v>
      </c>
      <c r="F146">
        <v>1.0468965270257424E-2</v>
      </c>
      <c r="G146">
        <v>-7.0436318502961281E-2</v>
      </c>
      <c r="H146">
        <v>-1.7338481861339794E-4</v>
      </c>
      <c r="I146">
        <v>9.8404819761690465E-3</v>
      </c>
      <c r="J146">
        <v>-4.0844509853653288E-2</v>
      </c>
      <c r="K146">
        <v>1.9682441788944294E-2</v>
      </c>
      <c r="L146" s="11">
        <f t="shared" si="4"/>
        <v>-6.6946034158806844E-3</v>
      </c>
      <c r="M146" s="11">
        <f t="shared" si="5"/>
        <v>-6.6946034158806844E-3</v>
      </c>
    </row>
    <row r="147" spans="1:13">
      <c r="A147" s="1">
        <v>45504</v>
      </c>
      <c r="B147">
        <v>2.001501381220061E-2</v>
      </c>
      <c r="C147">
        <v>-1.3888905003355934E-2</v>
      </c>
      <c r="D147">
        <v>-1.0805871473019923E-2</v>
      </c>
      <c r="E147">
        <v>9.2678183329186758E-3</v>
      </c>
      <c r="F147">
        <v>7.2659615172676606E-3</v>
      </c>
      <c r="G147">
        <v>0.12812102586816532</v>
      </c>
      <c r="H147">
        <v>-2.9448568971014444E-3</v>
      </c>
      <c r="I147">
        <v>2.6468196296737689E-2</v>
      </c>
      <c r="J147">
        <v>4.2449072025433132E-2</v>
      </c>
      <c r="K147">
        <v>-7.5241688565179654E-3</v>
      </c>
      <c r="L147" s="11">
        <f t="shared" si="4"/>
        <v>1.9842328562272783E-2</v>
      </c>
      <c r="M147" s="11">
        <f t="shared" si="5"/>
        <v>1.9842328562272783E-2</v>
      </c>
    </row>
    <row r="148" spans="1:13">
      <c r="A148" s="1">
        <v>45505</v>
      </c>
      <c r="B148">
        <v>-6.4480630384908144E-2</v>
      </c>
      <c r="C148">
        <v>1.8279748404169682E-2</v>
      </c>
      <c r="D148">
        <v>-2.9640867997273723E-3</v>
      </c>
      <c r="E148">
        <v>-5.5701442444335836E-3</v>
      </c>
      <c r="F148">
        <v>-1.3491960465501052E-2</v>
      </c>
      <c r="G148">
        <v>-6.6740662957464059E-2</v>
      </c>
      <c r="H148">
        <v>1.3262328833179016E-2</v>
      </c>
      <c r="I148">
        <v>-3.6433541396882818E-2</v>
      </c>
      <c r="J148">
        <v>-6.5540596517574046E-2</v>
      </c>
      <c r="K148">
        <v>7.3684862142215923E-3</v>
      </c>
      <c r="L148" s="11">
        <f t="shared" si="4"/>
        <v>-2.1631105931492083E-2</v>
      </c>
      <c r="M148" s="11">
        <f t="shared" si="5"/>
        <v>-2.1631105931492079E-2</v>
      </c>
    </row>
    <row r="149" spans="1:13">
      <c r="A149" s="1">
        <v>45506</v>
      </c>
      <c r="B149">
        <v>-4.6884643176577367E-2</v>
      </c>
      <c r="C149">
        <v>2.0159107059293691E-2</v>
      </c>
      <c r="D149">
        <v>-2.0665936982863897E-2</v>
      </c>
      <c r="E149">
        <v>-1.7940243859317029E-2</v>
      </c>
      <c r="F149">
        <v>2.1666258990948872E-3</v>
      </c>
      <c r="G149">
        <v>-1.7764053900481303E-2</v>
      </c>
      <c r="H149">
        <v>1.7603902388934056E-2</v>
      </c>
      <c r="I149">
        <v>1.025163142641361E-2</v>
      </c>
      <c r="J149">
        <v>-4.2377581921704266E-2</v>
      </c>
      <c r="K149">
        <v>-4.7122706211125687E-3</v>
      </c>
      <c r="L149" s="11">
        <f t="shared" si="4"/>
        <v>-1.0016346368832019E-2</v>
      </c>
      <c r="M149" s="11">
        <f t="shared" si="5"/>
        <v>-1.0016346368832019E-2</v>
      </c>
    </row>
    <row r="150" spans="1:13">
      <c r="A150" s="1">
        <v>45509</v>
      </c>
      <c r="B150">
        <v>-1.718151351209074E-2</v>
      </c>
      <c r="C150">
        <v>-1.7741384149404182E-2</v>
      </c>
      <c r="D150">
        <v>-3.2656993353285535E-2</v>
      </c>
      <c r="E150">
        <v>-2.4591008564059158E-2</v>
      </c>
      <c r="F150">
        <v>-3.4995195333946683E-2</v>
      </c>
      <c r="G150">
        <v>-6.3577840430313559E-2</v>
      </c>
      <c r="H150">
        <v>-2.2466836034732984E-2</v>
      </c>
      <c r="I150">
        <v>-2.6621031260831263E-2</v>
      </c>
      <c r="J150">
        <v>-4.232673647438534E-2</v>
      </c>
      <c r="K150">
        <v>-3.066913007864347E-2</v>
      </c>
      <c r="L150" s="11">
        <f t="shared" si="4"/>
        <v>-3.1282766919169293E-2</v>
      </c>
      <c r="M150" s="11">
        <f t="shared" si="5"/>
        <v>-3.1282766919169293E-2</v>
      </c>
    </row>
    <row r="151" spans="1:13">
      <c r="A151" s="1">
        <v>45510</v>
      </c>
      <c r="B151">
        <v>-1.1914060394585091E-2</v>
      </c>
      <c r="C151">
        <v>-7.3405463483489086E-4</v>
      </c>
      <c r="D151">
        <v>1.1286985627351642E-2</v>
      </c>
      <c r="E151">
        <v>1.841119331049379E-2</v>
      </c>
      <c r="F151">
        <v>1.5121660708276918E-2</v>
      </c>
      <c r="G151">
        <v>3.7829744118383246E-2</v>
      </c>
      <c r="H151">
        <v>-8.9059542678679993E-3</v>
      </c>
      <c r="I151">
        <v>2.0444141797263171E-2</v>
      </c>
      <c r="J151">
        <v>8.8495296843595916E-3</v>
      </c>
      <c r="K151">
        <v>7.2810508117360229E-5</v>
      </c>
      <c r="L151" s="11">
        <f t="shared" si="4"/>
        <v>9.0461996456957742E-3</v>
      </c>
      <c r="M151" s="11">
        <f t="shared" si="5"/>
        <v>9.0461996456957742E-3</v>
      </c>
    </row>
    <row r="152" spans="1:13">
      <c r="A152" s="1">
        <v>45511</v>
      </c>
      <c r="B152">
        <v>-1.0906373401550762E-2</v>
      </c>
      <c r="C152">
        <v>6.0248005628424917E-3</v>
      </c>
      <c r="D152">
        <v>-2.952875729425708E-3</v>
      </c>
      <c r="E152">
        <v>3.1333122062815466E-3</v>
      </c>
      <c r="F152">
        <v>1.6553349672430162E-3</v>
      </c>
      <c r="G152">
        <v>-5.122291898793041E-2</v>
      </c>
      <c r="H152">
        <v>-4.0582243290445685E-3</v>
      </c>
      <c r="I152">
        <v>-1.0613521730433728E-3</v>
      </c>
      <c r="J152">
        <v>-4.425839767656603E-2</v>
      </c>
      <c r="K152">
        <v>3.9365449169310729E-3</v>
      </c>
      <c r="L152" s="11">
        <f t="shared" si="4"/>
        <v>-9.9710149644262735E-3</v>
      </c>
      <c r="M152" s="11">
        <f t="shared" si="5"/>
        <v>-9.9710149644262717E-3</v>
      </c>
    </row>
    <row r="153" spans="1:13">
      <c r="A153" s="1">
        <v>45512</v>
      </c>
      <c r="B153">
        <v>3.448903108655399E-2</v>
      </c>
      <c r="C153">
        <v>3.9441519281899762E-3</v>
      </c>
      <c r="D153">
        <v>1.0692075541248069E-2</v>
      </c>
      <c r="E153">
        <v>3.0859546869746568E-2</v>
      </c>
      <c r="F153">
        <v>2.1619219000857726E-2</v>
      </c>
      <c r="G153">
        <v>6.1267779187380356E-2</v>
      </c>
      <c r="H153">
        <v>3.3761329110444382E-3</v>
      </c>
      <c r="I153">
        <v>6.1096225776651192E-3</v>
      </c>
      <c r="J153">
        <v>3.69211620456249E-2</v>
      </c>
      <c r="K153">
        <v>9.0038793011681939E-3</v>
      </c>
      <c r="L153" s="11">
        <f t="shared" si="4"/>
        <v>2.1828260044947933E-2</v>
      </c>
      <c r="M153" s="11">
        <f t="shared" si="5"/>
        <v>2.1828260044947933E-2</v>
      </c>
    </row>
    <row r="154" spans="1:13">
      <c r="A154" s="1">
        <v>45513</v>
      </c>
      <c r="B154">
        <v>-5.6847958952790378E-3</v>
      </c>
      <c r="C154">
        <v>-7.2766866111895201E-4</v>
      </c>
      <c r="D154">
        <v>8.2692189179212061E-3</v>
      </c>
      <c r="E154">
        <v>5.6952914960168854E-3</v>
      </c>
      <c r="F154">
        <v>2.0218243161977956E-3</v>
      </c>
      <c r="G154">
        <v>-2.0958562507369383E-3</v>
      </c>
      <c r="H154">
        <v>1.1624495224293874E-4</v>
      </c>
      <c r="I154">
        <v>-8.7130044417166319E-3</v>
      </c>
      <c r="J154">
        <v>5.8338547750664826E-3</v>
      </c>
      <c r="K154">
        <v>-4.7138204229290048E-3</v>
      </c>
      <c r="L154" s="11">
        <f t="shared" si="4"/>
        <v>1.2887856647440972E-7</v>
      </c>
      <c r="M154" s="11">
        <f t="shared" si="5"/>
        <v>1.2887856647436636E-7</v>
      </c>
    </row>
    <row r="155" spans="1:13">
      <c r="A155" s="1">
        <v>45516</v>
      </c>
      <c r="B155">
        <v>-2.2512052271189464E-2</v>
      </c>
      <c r="C155">
        <v>-7.4257043683111368E-3</v>
      </c>
      <c r="D155">
        <v>1.9457354160343776E-3</v>
      </c>
      <c r="E155">
        <v>-1.2619298196802076E-3</v>
      </c>
      <c r="F155">
        <v>4.0355944102343777E-3</v>
      </c>
      <c r="G155">
        <v>4.0763745845676436E-2</v>
      </c>
      <c r="H155">
        <v>-5.6268126761043202E-3</v>
      </c>
      <c r="I155">
        <v>2.5835797101252611E-2</v>
      </c>
      <c r="J155">
        <v>-1.2549972534179998E-2</v>
      </c>
      <c r="K155">
        <v>-2.7112799379775954E-3</v>
      </c>
      <c r="L155" s="11">
        <f t="shared" si="4"/>
        <v>2.0493121165755081E-3</v>
      </c>
      <c r="M155" s="11">
        <f t="shared" si="5"/>
        <v>2.0493121165755081E-3</v>
      </c>
    </row>
    <row r="156" spans="1:13">
      <c r="A156" s="1">
        <v>45517</v>
      </c>
      <c r="B156">
        <v>2.8209282192666718E-2</v>
      </c>
      <c r="C156">
        <v>4.2539741195271041E-3</v>
      </c>
      <c r="D156">
        <v>1.7698718353813536E-2</v>
      </c>
      <c r="E156">
        <v>2.3501918278021616E-2</v>
      </c>
      <c r="F156">
        <v>5.1714996878216901E-2</v>
      </c>
      <c r="G156">
        <v>6.5309052032850534E-2</v>
      </c>
      <c r="H156">
        <v>5.5417637014227861E-3</v>
      </c>
      <c r="I156">
        <v>0.24496951355688523</v>
      </c>
      <c r="J156">
        <v>5.2357061371634428E-2</v>
      </c>
      <c r="K156">
        <v>-4.2775217524546605E-3</v>
      </c>
      <c r="L156" s="11">
        <f t="shared" si="4"/>
        <v>4.8927875873258413E-2</v>
      </c>
      <c r="M156" s="11">
        <f t="shared" si="5"/>
        <v>4.892787587325842E-2</v>
      </c>
    </row>
    <row r="157" spans="1:13">
      <c r="A157" s="1">
        <v>45518</v>
      </c>
      <c r="B157">
        <v>-1.5406169429833527E-3</v>
      </c>
      <c r="C157">
        <v>1.7531093488760696E-3</v>
      </c>
      <c r="D157">
        <v>6.8838738655168097E-3</v>
      </c>
      <c r="E157">
        <v>2.107955423107466E-2</v>
      </c>
      <c r="F157">
        <v>2.5463659486302248E-4</v>
      </c>
      <c r="G157">
        <v>1.6704019623208222E-2</v>
      </c>
      <c r="H157">
        <v>7.7740990832715351E-3</v>
      </c>
      <c r="I157">
        <v>-2.0855071890633958E-2</v>
      </c>
      <c r="J157">
        <v>-3.1034965555575833E-2</v>
      </c>
      <c r="K157">
        <v>1.9295291169823647E-2</v>
      </c>
      <c r="L157" s="11">
        <f t="shared" si="4"/>
        <v>2.0313929527440828E-3</v>
      </c>
      <c r="M157" s="11">
        <f t="shared" si="5"/>
        <v>2.0313929527440823E-3</v>
      </c>
    </row>
    <row r="158" spans="1:13">
      <c r="A158" s="1">
        <v>45519</v>
      </c>
      <c r="B158">
        <v>4.6943641911626255E-2</v>
      </c>
      <c r="C158">
        <v>1.020552108041306E-3</v>
      </c>
      <c r="D158">
        <v>1.1823776162078081E-2</v>
      </c>
      <c r="E158">
        <v>2.3273758378523635E-3</v>
      </c>
      <c r="F158">
        <v>5.0687770550740474E-2</v>
      </c>
      <c r="G158">
        <v>4.0481075153764312E-2</v>
      </c>
      <c r="H158">
        <v>-6.8505191717036507E-3</v>
      </c>
      <c r="I158">
        <v>1.0436491420217298E-2</v>
      </c>
      <c r="J158">
        <v>6.3362767888804905E-2</v>
      </c>
      <c r="K158">
        <v>-3.5727025675491575E-4</v>
      </c>
      <c r="L158" s="11">
        <f t="shared" si="4"/>
        <v>2.1987566160466644E-2</v>
      </c>
      <c r="M158" s="11">
        <f t="shared" si="5"/>
        <v>2.1987566160466644E-2</v>
      </c>
    </row>
    <row r="159" spans="1:13">
      <c r="A159" s="1">
        <v>45520</v>
      </c>
      <c r="B159">
        <v>2.0293644105988662E-2</v>
      </c>
      <c r="C159">
        <v>7.7202870920998201E-3</v>
      </c>
      <c r="D159">
        <v>-6.0802636800474374E-3</v>
      </c>
      <c r="E159">
        <v>1.6359634963329039E-2</v>
      </c>
      <c r="F159">
        <v>8.848660567491784E-3</v>
      </c>
      <c r="G159">
        <v>1.3999571759240048E-2</v>
      </c>
      <c r="H159">
        <v>5.7971099518372426E-4</v>
      </c>
      <c r="I159">
        <v>5.3017755302577907E-3</v>
      </c>
      <c r="J159">
        <v>9.2462675501188141E-3</v>
      </c>
      <c r="K159">
        <v>1.9292870517695349E-3</v>
      </c>
      <c r="L159" s="11">
        <f t="shared" si="4"/>
        <v>7.8198575935431794E-3</v>
      </c>
      <c r="M159" s="11">
        <f t="shared" si="5"/>
        <v>7.8198575935431777E-3</v>
      </c>
    </row>
    <row r="160" spans="1:13">
      <c r="A160" s="1">
        <v>45523</v>
      </c>
      <c r="B160">
        <v>-1.944586326096287E-3</v>
      </c>
      <c r="C160">
        <v>-2.8909473019886889E-3</v>
      </c>
      <c r="D160">
        <v>7.3123141406428172E-3</v>
      </c>
      <c r="E160">
        <v>2.1451810369159441E-2</v>
      </c>
      <c r="F160">
        <v>6.0046046225803451E-4</v>
      </c>
      <c r="G160">
        <v>4.3506190228346453E-2</v>
      </c>
      <c r="H160">
        <v>6.9517685783022642E-3</v>
      </c>
      <c r="I160">
        <v>-2.6473927982133771E-2</v>
      </c>
      <c r="J160">
        <v>3.0538618603694223E-2</v>
      </c>
      <c r="K160">
        <v>7.0608713076008023E-3</v>
      </c>
      <c r="L160" s="11">
        <f t="shared" si="4"/>
        <v>8.6112572079785291E-3</v>
      </c>
      <c r="M160" s="11">
        <f t="shared" si="5"/>
        <v>8.6112572079785291E-3</v>
      </c>
    </row>
    <row r="161" spans="1:13">
      <c r="A161" s="1">
        <v>45524</v>
      </c>
      <c r="B161">
        <v>-4.1972797326604305E-2</v>
      </c>
      <c r="C161">
        <v>5.7985443817405447E-3</v>
      </c>
      <c r="D161">
        <v>7.7574006871099499E-3</v>
      </c>
      <c r="E161">
        <v>1.4538144023565902E-2</v>
      </c>
      <c r="F161">
        <v>3.3622637801729027E-3</v>
      </c>
      <c r="G161">
        <v>-2.1153837347913873E-2</v>
      </c>
      <c r="H161">
        <v>1.1678734625722109E-2</v>
      </c>
      <c r="I161">
        <v>7.6922480975267771E-3</v>
      </c>
      <c r="J161">
        <v>-7.2736849331402897E-3</v>
      </c>
      <c r="K161">
        <v>-3.2931572449499402E-3</v>
      </c>
      <c r="L161" s="11">
        <f t="shared" si="4"/>
        <v>-2.2866141256770219E-3</v>
      </c>
      <c r="M161" s="11">
        <f t="shared" si="5"/>
        <v>-2.2866141256770224E-3</v>
      </c>
    </row>
    <row r="162" spans="1:13">
      <c r="A162" s="1">
        <v>45525</v>
      </c>
      <c r="B162">
        <v>7.7279867815114311E-3</v>
      </c>
      <c r="C162">
        <v>2.7387607305764394E-3</v>
      </c>
      <c r="D162">
        <v>-1.5535269484081571E-3</v>
      </c>
      <c r="E162">
        <v>-2.0327868909749691E-3</v>
      </c>
      <c r="F162">
        <v>5.2655723987764524E-3</v>
      </c>
      <c r="G162">
        <v>9.8232875788843987E-3</v>
      </c>
      <c r="H162">
        <v>-3.6394785713304012E-3</v>
      </c>
      <c r="I162">
        <v>-2.4728369007331885E-3</v>
      </c>
      <c r="J162">
        <v>9.8145549934043341E-3</v>
      </c>
      <c r="K162">
        <v>7.8515735284734323E-3</v>
      </c>
      <c r="L162" s="11">
        <f t="shared" si="4"/>
        <v>3.3523106700179767E-3</v>
      </c>
      <c r="M162" s="11">
        <f t="shared" si="5"/>
        <v>3.3523106700179771E-3</v>
      </c>
    </row>
    <row r="163" spans="1:13">
      <c r="A163" s="1">
        <v>45526</v>
      </c>
      <c r="B163">
        <v>-3.8632197269276025E-3</v>
      </c>
      <c r="C163">
        <v>-3.4497116737238764E-3</v>
      </c>
      <c r="D163">
        <v>-2.0252821564565204E-2</v>
      </c>
      <c r="E163">
        <v>-1.1705263371708741E-2</v>
      </c>
      <c r="F163">
        <v>-7.02360278250036E-3</v>
      </c>
      <c r="G163">
        <v>-3.7042817807030226E-2</v>
      </c>
      <c r="H163">
        <v>3.024917183264586E-3</v>
      </c>
      <c r="I163">
        <v>-3.7724430453752733E-3</v>
      </c>
      <c r="J163">
        <v>-5.6478704568674654E-2</v>
      </c>
      <c r="K163">
        <v>5.1466984828700824E-3</v>
      </c>
      <c r="L163" s="11">
        <f t="shared" si="4"/>
        <v>-1.3541696887437126E-2</v>
      </c>
      <c r="M163" s="11">
        <f t="shared" si="5"/>
        <v>-1.3541696887437126E-2</v>
      </c>
    </row>
    <row r="164" spans="1:13">
      <c r="A164" s="1">
        <v>45527</v>
      </c>
      <c r="B164">
        <v>1.2734500329848908E-2</v>
      </c>
      <c r="C164">
        <v>6.6348262060402785E-3</v>
      </c>
      <c r="D164">
        <v>2.9840087094419321E-3</v>
      </c>
      <c r="E164">
        <v>-3.2368227949146622E-3</v>
      </c>
      <c r="F164">
        <v>7.6729145602159043E-3</v>
      </c>
      <c r="G164">
        <v>4.5498481286967651E-2</v>
      </c>
      <c r="H164">
        <v>7.3961794715216023E-4</v>
      </c>
      <c r="I164">
        <v>1.720227962201859E-2</v>
      </c>
      <c r="J164">
        <v>4.5855898102058701E-2</v>
      </c>
      <c r="K164">
        <v>-1.2905943113287077E-2</v>
      </c>
      <c r="L164" s="11">
        <f t="shared" si="4"/>
        <v>1.2317976085554239E-2</v>
      </c>
      <c r="M164" s="11">
        <f t="shared" si="5"/>
        <v>1.2317976085554239E-2</v>
      </c>
    </row>
    <row r="165" spans="1:13">
      <c r="A165" s="1">
        <v>45530</v>
      </c>
      <c r="B165">
        <v>-8.4591388290721214E-3</v>
      </c>
      <c r="C165">
        <v>1.5045124120727005E-2</v>
      </c>
      <c r="D165">
        <v>-7.9177250662653131E-3</v>
      </c>
      <c r="E165">
        <v>2.4900936631437887E-3</v>
      </c>
      <c r="F165">
        <v>2.7363947736929184E-3</v>
      </c>
      <c r="G165">
        <v>-2.2493562194291883E-2</v>
      </c>
      <c r="H165">
        <v>5.6866857367721124E-4</v>
      </c>
      <c r="I165">
        <v>1.7123991494301549E-2</v>
      </c>
      <c r="J165">
        <v>-3.2271243527548066E-2</v>
      </c>
      <c r="K165">
        <v>1.399848322343078E-2</v>
      </c>
      <c r="L165" s="11">
        <f t="shared" si="4"/>
        <v>-1.9178913768204131E-3</v>
      </c>
      <c r="M165" s="11">
        <f t="shared" si="5"/>
        <v>-1.9178913768204131E-3</v>
      </c>
    </row>
    <row r="166" spans="1:13">
      <c r="A166" s="1">
        <v>45531</v>
      </c>
      <c r="B166">
        <v>-2.4786297346776065E-3</v>
      </c>
      <c r="C166">
        <v>9.316826643396503E-3</v>
      </c>
      <c r="D166">
        <v>8.4644951472756524E-4</v>
      </c>
      <c r="E166">
        <v>1.0574586363230054E-2</v>
      </c>
      <c r="F166">
        <v>1.1983868140094334E-2</v>
      </c>
      <c r="G166">
        <v>1.4550157421816312E-2</v>
      </c>
      <c r="H166">
        <v>-3.8074826209356649E-3</v>
      </c>
      <c r="I166">
        <v>3.1057260129232267E-2</v>
      </c>
      <c r="J166">
        <v>-1.8760845523390968E-2</v>
      </c>
      <c r="K166">
        <v>9.2501105002620321E-3</v>
      </c>
      <c r="L166" s="11">
        <f t="shared" si="4"/>
        <v>6.2532300833754838E-3</v>
      </c>
      <c r="M166" s="11">
        <f t="shared" si="5"/>
        <v>6.253230083375483E-3</v>
      </c>
    </row>
    <row r="167" spans="1:13">
      <c r="A167" s="1">
        <v>45532</v>
      </c>
      <c r="B167">
        <v>-1.3522082037699446E-2</v>
      </c>
      <c r="C167">
        <v>3.4964013512039926E-3</v>
      </c>
      <c r="D167">
        <v>-7.8290072250081222E-3</v>
      </c>
      <c r="E167">
        <v>-1.7075755114016156E-2</v>
      </c>
      <c r="F167">
        <v>-2.9311681984591775E-2</v>
      </c>
      <c r="G167">
        <v>-2.0966523088019828E-2</v>
      </c>
      <c r="H167">
        <v>-7.8722228201402178E-3</v>
      </c>
      <c r="I167">
        <v>-3.3468544247724052E-2</v>
      </c>
      <c r="J167">
        <v>-1.6538437946704843E-2</v>
      </c>
      <c r="K167">
        <v>4.9646119067729977E-3</v>
      </c>
      <c r="L167" s="11">
        <f t="shared" si="4"/>
        <v>-1.3812324120592745E-2</v>
      </c>
      <c r="M167" s="11">
        <f t="shared" si="5"/>
        <v>-1.3812324120592745E-2</v>
      </c>
    </row>
    <row r="168" spans="1:13">
      <c r="A168" s="1">
        <v>45533</v>
      </c>
      <c r="B168">
        <v>9.0796539863418069E-3</v>
      </c>
      <c r="C168">
        <v>4.1812599442410114E-3</v>
      </c>
      <c r="D168">
        <v>6.1372267850825502E-3</v>
      </c>
      <c r="E168">
        <v>1.2634466065128525E-2</v>
      </c>
      <c r="F168">
        <v>5.6769432423340316E-3</v>
      </c>
      <c r="G168">
        <v>-6.3848450262485201E-2</v>
      </c>
      <c r="H168">
        <v>-1.0522204773673716E-2</v>
      </c>
      <c r="I168">
        <v>-4.6170619728632678E-3</v>
      </c>
      <c r="J168">
        <v>2.5759357438444042E-3</v>
      </c>
      <c r="K168">
        <v>8.2564787772185788E-3</v>
      </c>
      <c r="L168" s="11">
        <f t="shared" si="4"/>
        <v>-3.0445752464831285E-3</v>
      </c>
      <c r="M168" s="11">
        <f t="shared" si="5"/>
        <v>-3.0445752464831276E-3</v>
      </c>
    </row>
    <row r="169" spans="1:13">
      <c r="A169" s="1">
        <v>45534</v>
      </c>
      <c r="B169">
        <v>8.5917278156553145E-3</v>
      </c>
      <c r="C169">
        <v>5.8293897281682661E-3</v>
      </c>
      <c r="D169">
        <v>9.7309250107546763E-3</v>
      </c>
      <c r="E169">
        <v>1.2809027506012205E-2</v>
      </c>
      <c r="F169">
        <v>7.2061127004574566E-4</v>
      </c>
      <c r="G169">
        <v>1.5137375405546383E-2</v>
      </c>
      <c r="H169">
        <v>4.590737856696947E-3</v>
      </c>
      <c r="I169">
        <v>-3.0570856460854223E-3</v>
      </c>
      <c r="J169">
        <v>3.7958124284422246E-2</v>
      </c>
      <c r="K169">
        <v>8.5639641168211433E-4</v>
      </c>
      <c r="L169" s="11">
        <f t="shared" si="4"/>
        <v>9.3167229642898471E-3</v>
      </c>
      <c r="M169" s="11">
        <f t="shared" si="5"/>
        <v>9.3167229642898471E-3</v>
      </c>
    </row>
    <row r="170" spans="1:13">
      <c r="A170" s="1">
        <v>45538</v>
      </c>
      <c r="B170">
        <v>-7.3212851493805742E-2</v>
      </c>
      <c r="C170">
        <v>7.4513836441869596E-3</v>
      </c>
      <c r="D170">
        <v>-1.8459019057064263E-2</v>
      </c>
      <c r="E170">
        <v>-3.7114093060276465E-2</v>
      </c>
      <c r="F170">
        <v>-1.9650412413984575E-2</v>
      </c>
      <c r="G170">
        <v>-9.5250123968078415E-2</v>
      </c>
      <c r="H170">
        <v>2.6955130644525482E-2</v>
      </c>
      <c r="I170">
        <v>-1.46982146314939E-2</v>
      </c>
      <c r="J170">
        <v>-1.639341692041596E-2</v>
      </c>
      <c r="K170">
        <v>3.7678369825622227E-4</v>
      </c>
      <c r="L170" s="11">
        <f t="shared" si="4"/>
        <v>-2.399948335581507E-2</v>
      </c>
      <c r="M170" s="11">
        <f t="shared" si="5"/>
        <v>-2.3999483355815067E-2</v>
      </c>
    </row>
    <row r="171" spans="1:13">
      <c r="A171" s="1">
        <v>45539</v>
      </c>
      <c r="B171">
        <v>1.3662879703570496E-2</v>
      </c>
      <c r="C171">
        <v>-6.1637027303008685E-3</v>
      </c>
      <c r="D171">
        <v>-1.318894171112972E-3</v>
      </c>
      <c r="E171">
        <v>6.4561767817872262E-3</v>
      </c>
      <c r="F171">
        <v>-3.6891356538726328E-3</v>
      </c>
      <c r="G171">
        <v>-1.6574089810091563E-2</v>
      </c>
      <c r="H171">
        <v>5.5198893456729348E-3</v>
      </c>
      <c r="I171">
        <v>-9.1219856311438585E-3</v>
      </c>
      <c r="J171">
        <v>4.1832845694523391E-2</v>
      </c>
      <c r="K171">
        <v>7.3916874893740214E-3</v>
      </c>
      <c r="L171" s="11">
        <f t="shared" si="4"/>
        <v>3.7995671018406173E-3</v>
      </c>
      <c r="M171" s="11">
        <f t="shared" si="5"/>
        <v>3.7995671018406173E-3</v>
      </c>
    </row>
    <row r="172" spans="1:13">
      <c r="A172" s="1">
        <v>45540</v>
      </c>
      <c r="B172">
        <v>-6.5556139947099412E-3</v>
      </c>
      <c r="C172">
        <v>-1.9156525456287432E-2</v>
      </c>
      <c r="D172">
        <v>-1.2472923096882305E-3</v>
      </c>
      <c r="E172">
        <v>5.7968492288480444E-3</v>
      </c>
      <c r="F172">
        <v>-2.3451295231600167E-3</v>
      </c>
      <c r="G172">
        <v>9.4153380528207986E-3</v>
      </c>
      <c r="H172">
        <v>4.3693104706852282E-3</v>
      </c>
      <c r="I172">
        <v>-8.3397227966292009E-3</v>
      </c>
      <c r="J172">
        <v>4.9040583051110032E-2</v>
      </c>
      <c r="K172">
        <v>-2.4118027630468664E-3</v>
      </c>
      <c r="L172" s="11">
        <f t="shared" si="4"/>
        <v>2.8565993959942418E-3</v>
      </c>
      <c r="M172" s="11">
        <f t="shared" si="5"/>
        <v>2.8565993959942413E-3</v>
      </c>
    </row>
    <row r="173" spans="1:13">
      <c r="A173" s="1">
        <v>45541</v>
      </c>
      <c r="B173">
        <v>-2.7937088805497945E-2</v>
      </c>
      <c r="C173">
        <v>-4.214783142223455E-4</v>
      </c>
      <c r="D173">
        <v>-1.6381394202149679E-2</v>
      </c>
      <c r="E173">
        <v>-2.6110961811286915E-2</v>
      </c>
      <c r="F173">
        <v>-2.4742691557176899E-3</v>
      </c>
      <c r="G173">
        <v>-4.0854323644192059E-2</v>
      </c>
      <c r="H173">
        <v>-3.4000135125620279E-3</v>
      </c>
      <c r="I173">
        <v>-4.4778951201901451E-3</v>
      </c>
      <c r="J173">
        <v>-8.4459323960792698E-2</v>
      </c>
      <c r="K173">
        <v>-8.7854600105923275E-3</v>
      </c>
      <c r="L173" s="11">
        <f t="shared" si="4"/>
        <v>-2.1530220853720385E-2</v>
      </c>
      <c r="M173" s="11">
        <f t="shared" si="5"/>
        <v>-2.1530220853720382E-2</v>
      </c>
    </row>
    <row r="174" spans="1:13">
      <c r="A174" s="1">
        <v>45544</v>
      </c>
      <c r="B174">
        <v>3.356178599668791E-2</v>
      </c>
      <c r="C174">
        <v>9.9802230074736986E-3</v>
      </c>
      <c r="D174">
        <v>1.0007566693039704E-2</v>
      </c>
      <c r="E174">
        <v>1.4494439665066805E-2</v>
      </c>
      <c r="F174">
        <v>-1.4138643341468415E-2</v>
      </c>
      <c r="G174">
        <v>3.5398197905604611E-2</v>
      </c>
      <c r="H174">
        <v>4.7930561266469329E-3</v>
      </c>
      <c r="I174">
        <v>1.1629201928249122E-2</v>
      </c>
      <c r="J174">
        <v>2.6289605928165427E-2</v>
      </c>
      <c r="K174">
        <v>1.1233557385088355E-2</v>
      </c>
      <c r="L174" s="11">
        <f t="shared" si="4"/>
        <v>1.4324899129455415E-2</v>
      </c>
      <c r="M174" s="11">
        <f t="shared" si="5"/>
        <v>1.4324899129455415E-2</v>
      </c>
    </row>
    <row r="175" spans="1:13">
      <c r="A175" s="1">
        <v>45545</v>
      </c>
      <c r="B175">
        <v>-1.7432915561044537E-2</v>
      </c>
      <c r="C175">
        <v>-4.1752218294940358E-3</v>
      </c>
      <c r="D175">
        <v>2.09011550048952E-2</v>
      </c>
      <c r="E175">
        <v>-2.6649904333796437E-3</v>
      </c>
      <c r="F175">
        <v>-1.7612340145352734E-2</v>
      </c>
      <c r="G175">
        <v>1.5309412795470489E-2</v>
      </c>
      <c r="H175">
        <v>-2.1326125269743867E-3</v>
      </c>
      <c r="I175">
        <v>1.2254569543725502E-2</v>
      </c>
      <c r="J175">
        <v>4.577608406579059E-2</v>
      </c>
      <c r="K175">
        <v>-9.240192135078984E-3</v>
      </c>
      <c r="L175" s="11">
        <f t="shared" si="4"/>
        <v>4.0982948778557462E-3</v>
      </c>
      <c r="M175" s="11">
        <f t="shared" si="5"/>
        <v>4.0982948778557462E-3</v>
      </c>
    </row>
    <row r="176" spans="1:13">
      <c r="A176" s="1">
        <v>45546</v>
      </c>
      <c r="B176">
        <v>7.8715215167317609E-3</v>
      </c>
      <c r="C176">
        <v>-6.5690050078297535E-3</v>
      </c>
      <c r="D176">
        <v>2.1342250603920476E-2</v>
      </c>
      <c r="E176">
        <v>1.1653418311272645E-2</v>
      </c>
      <c r="F176">
        <v>3.9698912984194035E-3</v>
      </c>
      <c r="G176">
        <v>8.1498640818598922E-2</v>
      </c>
      <c r="H176">
        <v>-1.1416630895635271E-2</v>
      </c>
      <c r="I176">
        <v>5.2067658294386421E-2</v>
      </c>
      <c r="J176">
        <v>8.6660774184685874E-3</v>
      </c>
      <c r="K176">
        <v>-1.220692533833645E-2</v>
      </c>
      <c r="L176" s="11">
        <f t="shared" si="4"/>
        <v>1.5687689701999675E-2</v>
      </c>
      <c r="M176" s="11">
        <f t="shared" si="5"/>
        <v>1.5687689701999675E-2</v>
      </c>
    </row>
    <row r="177" spans="1:13">
      <c r="A177" s="1">
        <v>45547</v>
      </c>
      <c r="B177">
        <v>8.9258192838426176E-3</v>
      </c>
      <c r="C177">
        <v>2.110501967824252E-3</v>
      </c>
      <c r="D177">
        <v>9.3608111396894511E-3</v>
      </c>
      <c r="E177">
        <v>7.8213528386930076E-3</v>
      </c>
      <c r="F177">
        <v>0</v>
      </c>
      <c r="G177">
        <v>1.9161698693134888E-2</v>
      </c>
      <c r="H177">
        <v>8.3626645808909661E-3</v>
      </c>
      <c r="I177">
        <v>1.0998049809290533E-2</v>
      </c>
      <c r="J177">
        <v>7.364189890952888E-3</v>
      </c>
      <c r="K177">
        <v>5.4152075274054301E-3</v>
      </c>
      <c r="L177" s="11">
        <f t="shared" si="4"/>
        <v>7.9520295731724047E-3</v>
      </c>
      <c r="M177" s="11">
        <f t="shared" si="5"/>
        <v>7.952029573172403E-3</v>
      </c>
    </row>
    <row r="178" spans="1:13">
      <c r="A178" s="1">
        <v>45548</v>
      </c>
      <c r="B178">
        <v>-3.6861828607908764E-2</v>
      </c>
      <c r="C178">
        <v>9.3998674233499724E-3</v>
      </c>
      <c r="D178">
        <v>8.4074595715581957E-3</v>
      </c>
      <c r="E178">
        <v>1.4938861310402007E-2</v>
      </c>
      <c r="F178">
        <v>7.7806314181547709E-3</v>
      </c>
      <c r="G178">
        <v>-3.3576043333116701E-4</v>
      </c>
      <c r="H178">
        <v>6.2063242878318547E-4</v>
      </c>
      <c r="I178">
        <v>-7.1515137280693253E-3</v>
      </c>
      <c r="J178">
        <v>2.0886633855718983E-3</v>
      </c>
      <c r="K178">
        <v>3.659693877171355E-3</v>
      </c>
      <c r="L178" s="11">
        <f t="shared" si="4"/>
        <v>2.5467066456821277E-4</v>
      </c>
      <c r="M178" s="11">
        <f t="shared" si="5"/>
        <v>2.5467066456821288E-4</v>
      </c>
    </row>
    <row r="179" spans="1:13">
      <c r="A179" s="1">
        <v>45551</v>
      </c>
      <c r="B179">
        <v>-7.7821087418145085E-3</v>
      </c>
      <c r="C179">
        <v>9.6624762661994268E-3</v>
      </c>
      <c r="D179">
        <v>1.7417983702816553E-3</v>
      </c>
      <c r="E179">
        <v>-8.0337067189961697E-4</v>
      </c>
      <c r="F179">
        <v>9.9987764936748658E-3</v>
      </c>
      <c r="G179">
        <v>-1.9479428567034662E-2</v>
      </c>
      <c r="H179">
        <v>-8.4572766383239628E-4</v>
      </c>
      <c r="I179">
        <v>-2.2927902790725763E-2</v>
      </c>
      <c r="J179">
        <v>-1.524162842140897E-2</v>
      </c>
      <c r="K179">
        <v>1.1248733935972144E-2</v>
      </c>
      <c r="L179" s="11">
        <f t="shared" si="4"/>
        <v>-3.4428381790587823E-3</v>
      </c>
      <c r="M179" s="11">
        <f t="shared" si="5"/>
        <v>-3.4428381790587827E-3</v>
      </c>
    </row>
    <row r="180" spans="1:13">
      <c r="A180" s="1">
        <v>45552</v>
      </c>
      <c r="B180">
        <v>5.4001692151142144E-3</v>
      </c>
      <c r="C180">
        <v>-4.1608629014826537E-3</v>
      </c>
      <c r="D180">
        <v>8.8329761215732994E-3</v>
      </c>
      <c r="E180">
        <v>1.4946120810525487E-2</v>
      </c>
      <c r="F180">
        <v>1.0526196052139225E-2</v>
      </c>
      <c r="G180">
        <v>-1.0190116841313768E-2</v>
      </c>
      <c r="H180">
        <v>-1.9186466539798941E-3</v>
      </c>
      <c r="I180">
        <v>1.3498521142829567E-3</v>
      </c>
      <c r="J180">
        <v>4.8064041968347571E-3</v>
      </c>
      <c r="K180">
        <v>-3.503813467694572E-3</v>
      </c>
      <c r="L180" s="11">
        <f t="shared" si="4"/>
        <v>2.6088278645999058E-3</v>
      </c>
      <c r="M180" s="11">
        <f t="shared" si="5"/>
        <v>2.6088278645999053E-3</v>
      </c>
    </row>
    <row r="181" spans="1:13">
      <c r="A181" s="1">
        <v>45553</v>
      </c>
      <c r="B181">
        <v>-8.1846587652185665E-3</v>
      </c>
      <c r="C181">
        <v>-6.963746697753459E-4</v>
      </c>
      <c r="D181">
        <v>-9.9736110494867969E-3</v>
      </c>
      <c r="E181">
        <v>-2.3256147269045235E-2</v>
      </c>
      <c r="F181">
        <v>3.2241860907240572E-3</v>
      </c>
      <c r="G181">
        <v>-1.9205825423089351E-2</v>
      </c>
      <c r="H181">
        <v>-9.3853036105415732E-3</v>
      </c>
      <c r="I181">
        <v>-3.318177975264458E-3</v>
      </c>
      <c r="J181">
        <v>-2.9402649901336675E-3</v>
      </c>
      <c r="K181">
        <v>-1.5020211733115518E-3</v>
      </c>
      <c r="L181" s="11">
        <f t="shared" si="4"/>
        <v>-7.5238198835142489E-3</v>
      </c>
      <c r="M181" s="11">
        <f t="shared" si="5"/>
        <v>-7.5238198835142489E-3</v>
      </c>
    </row>
    <row r="182" spans="1:13">
      <c r="A182" s="1">
        <v>45554</v>
      </c>
      <c r="B182">
        <v>-3.3524870763638193E-3</v>
      </c>
      <c r="C182">
        <v>-1.5749078244839287E-2</v>
      </c>
      <c r="D182">
        <v>1.8291121891910622E-2</v>
      </c>
      <c r="E182">
        <v>2.0058854416201477E-2</v>
      </c>
      <c r="F182">
        <v>9.890238776419924E-4</v>
      </c>
      <c r="G182">
        <v>3.9693098037788088E-2</v>
      </c>
      <c r="H182">
        <v>-3.139202733522195E-3</v>
      </c>
      <c r="I182">
        <v>8.1149605120012236E-3</v>
      </c>
      <c r="J182">
        <v>7.3591555657071428E-2</v>
      </c>
      <c r="K182">
        <v>-1.2615396436845949E-2</v>
      </c>
      <c r="L182" s="11">
        <f t="shared" si="4"/>
        <v>1.2588244990104358E-2</v>
      </c>
      <c r="M182" s="11">
        <f t="shared" si="5"/>
        <v>1.2588244990104358E-2</v>
      </c>
    </row>
    <row r="183" spans="1:13">
      <c r="A183" s="1">
        <v>45555</v>
      </c>
      <c r="B183">
        <v>-8.4093607772430801E-3</v>
      </c>
      <c r="C183">
        <v>1.4443479594753672E-2</v>
      </c>
      <c r="D183">
        <v>-7.7959143346475468E-3</v>
      </c>
      <c r="E183">
        <v>-4.671140948901753E-3</v>
      </c>
      <c r="F183">
        <v>6.8411765506144251E-2</v>
      </c>
      <c r="G183">
        <v>-1.5864923110005091E-2</v>
      </c>
      <c r="H183">
        <v>-1.9924426911569038E-2</v>
      </c>
      <c r="I183">
        <v>-8.7720311455232736E-3</v>
      </c>
      <c r="J183">
        <v>-2.3245319004216336E-2</v>
      </c>
      <c r="K183">
        <v>-1.5927696382599388E-3</v>
      </c>
      <c r="L183" s="11">
        <f t="shared" si="4"/>
        <v>-7.4206407694681347E-4</v>
      </c>
      <c r="M183" s="11">
        <f t="shared" si="5"/>
        <v>-7.4206407694681347E-4</v>
      </c>
    </row>
    <row r="184" spans="1:13">
      <c r="A184" s="1">
        <v>45558</v>
      </c>
      <c r="B184">
        <v>1.9636048649349869E-2</v>
      </c>
      <c r="C184">
        <v>1.2562956305295359E-3</v>
      </c>
      <c r="D184">
        <v>-4.0433943271043216E-3</v>
      </c>
      <c r="E184">
        <v>6.1908415316602738E-3</v>
      </c>
      <c r="F184">
        <v>-3.6984954579658558E-3</v>
      </c>
      <c r="G184">
        <v>2.2413876696754098E-3</v>
      </c>
      <c r="H184">
        <v>5.4329613100390084E-3</v>
      </c>
      <c r="I184">
        <v>-5.9343545509397133E-3</v>
      </c>
      <c r="J184">
        <v>4.9317943336831149E-2</v>
      </c>
      <c r="K184">
        <v>8.6700313087728631E-3</v>
      </c>
      <c r="L184" s="11">
        <f t="shared" si="4"/>
        <v>7.9069265100848232E-3</v>
      </c>
      <c r="M184" s="11">
        <f t="shared" si="5"/>
        <v>7.9069265100848215E-3</v>
      </c>
    </row>
    <row r="185" spans="1:13">
      <c r="A185" s="1">
        <v>45559</v>
      </c>
      <c r="B185">
        <v>-3.1350318848152314E-3</v>
      </c>
      <c r="C185">
        <v>-5.5765424458275037E-3</v>
      </c>
      <c r="D185">
        <v>-1.0011341409711827E-2</v>
      </c>
      <c r="E185">
        <v>2.3944900924842916E-2</v>
      </c>
      <c r="F185">
        <v>1.4617139490470166E-2</v>
      </c>
      <c r="G185">
        <v>3.9652516763790446E-2</v>
      </c>
      <c r="H185">
        <v>-1.2724435815620883E-2</v>
      </c>
      <c r="I185">
        <v>-1.078759531958251E-2</v>
      </c>
      <c r="J185">
        <v>1.7080017089839972E-2</v>
      </c>
      <c r="K185">
        <v>-5.6386625794203615E-3</v>
      </c>
      <c r="L185" s="11">
        <f t="shared" si="4"/>
        <v>4.7420964813965193E-3</v>
      </c>
      <c r="M185" s="11">
        <f t="shared" si="5"/>
        <v>4.7420964813965185E-3</v>
      </c>
    </row>
    <row r="186" spans="1:13">
      <c r="A186" s="1">
        <v>45560</v>
      </c>
      <c r="B186">
        <v>-2.3040859984225115E-2</v>
      </c>
      <c r="C186">
        <v>1.6823771999670001E-3</v>
      </c>
      <c r="D186">
        <v>6.8503433575823891E-3</v>
      </c>
      <c r="E186">
        <v>-9.6919696171360314E-4</v>
      </c>
      <c r="F186">
        <v>6.1742259730150906E-3</v>
      </c>
      <c r="G186">
        <v>2.1841622195802879E-2</v>
      </c>
      <c r="H186">
        <v>-3.0603264496015248E-3</v>
      </c>
      <c r="I186">
        <v>1.2387582462844104E-2</v>
      </c>
      <c r="J186">
        <v>1.0815214909361881E-2</v>
      </c>
      <c r="K186">
        <v>4.080177374882421E-3</v>
      </c>
      <c r="L186" s="11">
        <f t="shared" si="4"/>
        <v>3.6761160077915522E-3</v>
      </c>
      <c r="M186" s="11">
        <f t="shared" si="5"/>
        <v>3.6761160077915522E-3</v>
      </c>
    </row>
    <row r="187" spans="1:13">
      <c r="A187" s="1">
        <v>45561</v>
      </c>
      <c r="B187">
        <v>1.5503879854324998E-2</v>
      </c>
      <c r="C187">
        <v>-6.998950157478534E-4</v>
      </c>
      <c r="D187">
        <v>-1.8513213032360643E-3</v>
      </c>
      <c r="E187">
        <v>-1.4039033368100973E-2</v>
      </c>
      <c r="F187">
        <v>1.5795504978843411E-2</v>
      </c>
      <c r="G187">
        <v>4.291140394105275E-3</v>
      </c>
      <c r="H187">
        <v>1.7119169133361645E-3</v>
      </c>
      <c r="I187">
        <v>1.9347328915970907E-2</v>
      </c>
      <c r="J187">
        <v>-1.0894046816020464E-2</v>
      </c>
      <c r="K187">
        <v>2.6516188898242365E-3</v>
      </c>
      <c r="L187" s="11">
        <f t="shared" si="4"/>
        <v>3.1817093443299643E-3</v>
      </c>
      <c r="M187" s="11">
        <f t="shared" si="5"/>
        <v>3.1817093443299639E-3</v>
      </c>
    </row>
    <row r="188" spans="1:13">
      <c r="A188" s="1">
        <v>45562</v>
      </c>
      <c r="B188">
        <v>1.1256342816360787E-2</v>
      </c>
      <c r="C188">
        <v>5.4623929624182388E-3</v>
      </c>
      <c r="D188">
        <v>-7.6279034414292735E-3</v>
      </c>
      <c r="E188">
        <v>-5.7349523239784705E-3</v>
      </c>
      <c r="F188">
        <v>5.5937653947868426E-4</v>
      </c>
      <c r="G188">
        <v>-2.1283432507341549E-2</v>
      </c>
      <c r="H188">
        <v>1.8269197062714682E-3</v>
      </c>
      <c r="I188">
        <v>-1.1285279456592079E-3</v>
      </c>
      <c r="J188">
        <v>2.4545630573566513E-2</v>
      </c>
      <c r="K188">
        <v>6.3881543349084691E-3</v>
      </c>
      <c r="L188" s="11">
        <f t="shared" si="4"/>
        <v>1.4264000714595663E-3</v>
      </c>
      <c r="M188" s="11">
        <f t="shared" si="5"/>
        <v>1.4264000714595659E-3</v>
      </c>
    </row>
    <row r="189" spans="1:13">
      <c r="A189" s="1">
        <v>45565</v>
      </c>
      <c r="B189">
        <v>-2.7379822399886344E-2</v>
      </c>
      <c r="C189">
        <v>9.7490812028655505E-4</v>
      </c>
      <c r="D189">
        <v>5.3268375118784572E-3</v>
      </c>
      <c r="E189">
        <v>2.7144186210263932E-3</v>
      </c>
      <c r="F189">
        <v>-1.1627920089179233E-2</v>
      </c>
      <c r="G189">
        <v>3.294469986010462E-4</v>
      </c>
      <c r="H189">
        <v>2.9414499132207617E-4</v>
      </c>
      <c r="I189">
        <v>1.3352144222642526E-3</v>
      </c>
      <c r="J189">
        <v>4.4921042237529019E-3</v>
      </c>
      <c r="K189">
        <v>8.1809991403567484E-3</v>
      </c>
      <c r="L189" s="11">
        <f t="shared" si="4"/>
        <v>-1.5359668459577146E-3</v>
      </c>
      <c r="M189" s="11">
        <f t="shared" si="5"/>
        <v>-1.5359668459577146E-3</v>
      </c>
    </row>
    <row r="190" spans="1:13">
      <c r="A190" s="1">
        <v>45566</v>
      </c>
      <c r="B190">
        <v>1.4338384838444185E-2</v>
      </c>
      <c r="C190">
        <v>-2.0873797366246505E-3</v>
      </c>
      <c r="D190">
        <v>-2.233320009995865E-2</v>
      </c>
      <c r="E190">
        <v>-4.4271075358763845E-3</v>
      </c>
      <c r="F190">
        <v>8.2578326144857606E-3</v>
      </c>
      <c r="G190">
        <v>-3.6561223467698412E-2</v>
      </c>
      <c r="H190">
        <v>7.8212545222093866E-3</v>
      </c>
      <c r="I190">
        <v>-6.1541267928777454E-4</v>
      </c>
      <c r="J190">
        <v>-1.3798172234709694E-2</v>
      </c>
      <c r="K190">
        <v>2.0541163738011292E-2</v>
      </c>
      <c r="L190" s="11">
        <f t="shared" si="4"/>
        <v>-2.886386004100495E-3</v>
      </c>
      <c r="M190" s="11">
        <f t="shared" si="5"/>
        <v>-2.8863860041004941E-3</v>
      </c>
    </row>
    <row r="191" spans="1:13">
      <c r="A191" s="1">
        <v>45567</v>
      </c>
      <c r="B191">
        <v>-8.624055378858686E-3</v>
      </c>
      <c r="C191">
        <v>-9.7614813559663283E-3</v>
      </c>
      <c r="D191">
        <v>-8.4622758709963497E-3</v>
      </c>
      <c r="E191">
        <v>7.0242334107855076E-3</v>
      </c>
      <c r="F191">
        <v>-6.7653948475846271E-2</v>
      </c>
      <c r="G191">
        <v>1.5811876589530982E-2</v>
      </c>
      <c r="H191">
        <v>-1.0678138444345842E-2</v>
      </c>
      <c r="I191">
        <v>-9.5453688224186317E-3</v>
      </c>
      <c r="J191">
        <v>-3.4880959322628913E-2</v>
      </c>
      <c r="K191">
        <v>-1.7200015565252524E-2</v>
      </c>
      <c r="L191" s="11">
        <f t="shared" si="4"/>
        <v>-1.4397013323599706E-2</v>
      </c>
      <c r="M191" s="11">
        <f t="shared" si="5"/>
        <v>-1.4397013323599706E-2</v>
      </c>
    </row>
    <row r="192" spans="1:13">
      <c r="A192" s="1">
        <v>45568</v>
      </c>
      <c r="B192">
        <v>-1.5501308958396631E-2</v>
      </c>
      <c r="C192">
        <v>-6.9005268229163086E-3</v>
      </c>
      <c r="D192">
        <v>-1.4144563012022937E-3</v>
      </c>
      <c r="E192">
        <v>-6.0330463098619003E-3</v>
      </c>
      <c r="F192">
        <v>-1.2033683446335153E-2</v>
      </c>
      <c r="G192">
        <v>3.3655917796476587E-2</v>
      </c>
      <c r="H192">
        <v>-6.0158917369074194E-3</v>
      </c>
      <c r="I192">
        <v>-9.7410223019217534E-3</v>
      </c>
      <c r="J192">
        <v>-3.3571602549665402E-2</v>
      </c>
      <c r="K192">
        <v>-1.631643899332702E-2</v>
      </c>
      <c r="L192" s="11">
        <f t="shared" si="4"/>
        <v>-7.3872059624057306E-3</v>
      </c>
      <c r="M192" s="11">
        <f t="shared" si="5"/>
        <v>-7.3872059624057297E-3</v>
      </c>
    </row>
    <row r="193" spans="1:13">
      <c r="A193" s="1">
        <v>45569</v>
      </c>
      <c r="B193">
        <v>2.9763457350364231E-2</v>
      </c>
      <c r="C193">
        <v>-4.9632121996069367E-3</v>
      </c>
      <c r="D193">
        <v>-1.1524165596031866E-3</v>
      </c>
      <c r="E193">
        <v>1.8251308201552519E-2</v>
      </c>
      <c r="F193">
        <v>1.8270432450948615E-3</v>
      </c>
      <c r="G193">
        <v>1.6849782218658405E-2</v>
      </c>
      <c r="H193">
        <v>-3.3228615388368743E-3</v>
      </c>
      <c r="I193">
        <v>1.0673965978100108E-2</v>
      </c>
      <c r="J193">
        <v>3.9142350309986806E-2</v>
      </c>
      <c r="K193">
        <v>3.4425118006575772E-4</v>
      </c>
      <c r="L193" s="11">
        <f t="shared" si="4"/>
        <v>1.0741366818577571E-2</v>
      </c>
      <c r="M193" s="11">
        <f t="shared" si="5"/>
        <v>1.0741366818577569E-2</v>
      </c>
    </row>
    <row r="194" spans="1:13">
      <c r="A194" s="1">
        <v>45572</v>
      </c>
      <c r="B194">
        <v>5.8709913684451553E-3</v>
      </c>
      <c r="C194">
        <v>-1.6531162299590729E-2</v>
      </c>
      <c r="D194">
        <v>-1.5670820979143962E-2</v>
      </c>
      <c r="E194">
        <v>-2.4704778373354164E-2</v>
      </c>
      <c r="F194">
        <v>-1.7264510479171324E-2</v>
      </c>
      <c r="G194">
        <v>2.2414401985425769E-2</v>
      </c>
      <c r="H194">
        <v>-4.5245524386807734E-3</v>
      </c>
      <c r="I194">
        <v>-5.0735071855766423E-3</v>
      </c>
      <c r="J194">
        <v>-3.6988163516765371E-2</v>
      </c>
      <c r="K194">
        <v>-9.2881948396797975E-3</v>
      </c>
      <c r="L194" s="11">
        <f t="shared" si="4"/>
        <v>-1.0176029675809184E-2</v>
      </c>
      <c r="M194" s="11">
        <f t="shared" si="5"/>
        <v>-1.0176029675809184E-2</v>
      </c>
    </row>
    <row r="195" spans="1:13">
      <c r="A195" s="1">
        <v>45573</v>
      </c>
      <c r="B195">
        <v>-8.0816479765833948E-3</v>
      </c>
      <c r="C195">
        <v>2.4634642083998237E-3</v>
      </c>
      <c r="D195">
        <v>1.2623949684387847E-2</v>
      </c>
      <c r="E195">
        <v>2.8265368330464558E-2</v>
      </c>
      <c r="F195">
        <v>-7.4224235321496135E-4</v>
      </c>
      <c r="G195">
        <v>4.0479101536442297E-2</v>
      </c>
      <c r="H195">
        <v>1.9197304656039638E-2</v>
      </c>
      <c r="I195">
        <v>1.2489199350109725E-3</v>
      </c>
      <c r="J195">
        <v>1.5238957526232833E-2</v>
      </c>
      <c r="K195">
        <v>1.7188073977430607E-2</v>
      </c>
      <c r="L195" s="11">
        <f t="shared" si="4"/>
        <v>1.2788124952461025E-2</v>
      </c>
      <c r="M195" s="11">
        <f t="shared" si="5"/>
        <v>1.2788124952461021E-2</v>
      </c>
    </row>
    <row r="196" spans="1:13">
      <c r="A196" s="1">
        <v>45574</v>
      </c>
      <c r="B196">
        <v>-3.4141603541421484E-2</v>
      </c>
      <c r="C196">
        <v>5.6373433496659242E-3</v>
      </c>
      <c r="D196">
        <v>6.6311728037522499E-3</v>
      </c>
      <c r="E196">
        <v>7.8557731565056521E-3</v>
      </c>
      <c r="F196">
        <v>2.0799856147960094E-2</v>
      </c>
      <c r="G196">
        <v>-1.8060030046851416E-3</v>
      </c>
      <c r="H196">
        <v>1.2439870062602942E-2</v>
      </c>
      <c r="I196">
        <v>-3.4300841436203378E-3</v>
      </c>
      <c r="J196">
        <v>-1.4110416966229056E-2</v>
      </c>
      <c r="K196">
        <v>1.7443809215593742E-2</v>
      </c>
      <c r="L196" s="11">
        <f t="shared" ref="L196:L259" si="6">SUMPRODUCT(B196:K196,$P$2:$Y$2)</f>
        <v>1.7319717080124587E-3</v>
      </c>
      <c r="M196" s="11">
        <f t="shared" ref="M196:M259" si="7">SUM(B196:K196)/10</f>
        <v>1.7319717080124587E-3</v>
      </c>
    </row>
    <row r="197" spans="1:13">
      <c r="A197" s="1">
        <v>45575</v>
      </c>
      <c r="B197">
        <v>-1.8410658699175242E-2</v>
      </c>
      <c r="C197">
        <v>-4.5996118075612991E-3</v>
      </c>
      <c r="D197">
        <v>-3.8806689874502087E-3</v>
      </c>
      <c r="E197">
        <v>3.9316296830733677E-3</v>
      </c>
      <c r="F197">
        <v>-4.2450352575136296E-3</v>
      </c>
      <c r="G197">
        <v>1.6283550031591876E-2</v>
      </c>
      <c r="H197">
        <v>2.6081516017226747E-3</v>
      </c>
      <c r="I197">
        <v>-2.0859355442885419E-2</v>
      </c>
      <c r="J197">
        <v>-9.4586133600149669E-3</v>
      </c>
      <c r="K197">
        <v>-2.6203676594743652E-2</v>
      </c>
      <c r="L197" s="11">
        <f t="shared" si="6"/>
        <v>-6.4834288832956496E-3</v>
      </c>
      <c r="M197" s="11">
        <f t="shared" si="7"/>
        <v>-6.4834288832956496E-3</v>
      </c>
    </row>
    <row r="198" spans="1:13">
      <c r="A198" s="1">
        <v>45576</v>
      </c>
      <c r="B198">
        <v>3.0009611934281422E-2</v>
      </c>
      <c r="C198">
        <v>4.6208659973638877E-3</v>
      </c>
      <c r="D198">
        <v>1.1542827270019096E-3</v>
      </c>
      <c r="E198">
        <v>-1.0269893091315541E-2</v>
      </c>
      <c r="F198">
        <v>6.0904591469079783E-4</v>
      </c>
      <c r="G198">
        <v>-7.4154799446168873E-5</v>
      </c>
      <c r="H198">
        <v>1.0520873991034296E-2</v>
      </c>
      <c r="I198">
        <v>1.7788605231675136E-2</v>
      </c>
      <c r="J198">
        <v>-8.7825107197192942E-2</v>
      </c>
      <c r="K198">
        <v>-7.2348103184893819E-4</v>
      </c>
      <c r="L198" s="11">
        <f t="shared" si="6"/>
        <v>-3.418935032375614E-3</v>
      </c>
      <c r="M198" s="11">
        <f t="shared" si="7"/>
        <v>-3.418935032375614E-3</v>
      </c>
    </row>
    <row r="199" spans="1:13">
      <c r="A199" s="1">
        <v>45579</v>
      </c>
      <c r="B199">
        <v>-1.3441919758084508E-2</v>
      </c>
      <c r="C199">
        <v>1.1067991073860695E-2</v>
      </c>
      <c r="D199">
        <v>6.7737121954232205E-3</v>
      </c>
      <c r="E199">
        <v>-1.3544706380769211E-2</v>
      </c>
      <c r="F199">
        <v>-6.6951439146176739E-3</v>
      </c>
      <c r="G199">
        <v>2.4258230009922555E-2</v>
      </c>
      <c r="H199">
        <v>7.379426097908981E-3</v>
      </c>
      <c r="I199">
        <v>-8.2678181535543738E-3</v>
      </c>
      <c r="J199">
        <v>6.2442635045731887E-3</v>
      </c>
      <c r="K199">
        <v>9.0335044858693703E-3</v>
      </c>
      <c r="L199" s="11">
        <f t="shared" si="6"/>
        <v>2.2807539160532241E-3</v>
      </c>
      <c r="M199" s="11">
        <f t="shared" si="7"/>
        <v>2.2807539160532241E-3</v>
      </c>
    </row>
    <row r="200" spans="1:13">
      <c r="A200" s="1">
        <v>45580</v>
      </c>
      <c r="B200">
        <v>2.2551852382508786E-2</v>
      </c>
      <c r="C200">
        <v>0</v>
      </c>
      <c r="D200">
        <v>-9.5441433842025081E-4</v>
      </c>
      <c r="E200">
        <v>-9.8457496931977362E-3</v>
      </c>
      <c r="F200">
        <v>6.3726993733792536E-3</v>
      </c>
      <c r="G200">
        <v>-4.6860362043859349E-2</v>
      </c>
      <c r="H200">
        <v>-1.1358239166364692E-3</v>
      </c>
      <c r="I200">
        <v>2.9548288657508248E-3</v>
      </c>
      <c r="J200">
        <v>1.8707960177859473E-3</v>
      </c>
      <c r="K200">
        <v>-5.1596031346355931E-3</v>
      </c>
      <c r="L200" s="11">
        <f t="shared" si="6"/>
        <v>-3.0205776487324601E-3</v>
      </c>
      <c r="M200" s="11">
        <f t="shared" si="7"/>
        <v>-3.0205776487324588E-3</v>
      </c>
    </row>
    <row r="201" spans="1:13">
      <c r="A201" s="1">
        <v>45581</v>
      </c>
      <c r="B201">
        <v>1.6737694065049213E-2</v>
      </c>
      <c r="C201">
        <v>3.2698573064475767E-3</v>
      </c>
      <c r="D201">
        <v>-6.2569022348485381E-3</v>
      </c>
      <c r="E201">
        <v>-5.6375259622906126E-3</v>
      </c>
      <c r="F201">
        <v>2.2162547011233658E-2</v>
      </c>
      <c r="G201">
        <v>3.1306856717133291E-2</v>
      </c>
      <c r="H201">
        <v>-8.0727703939550421E-3</v>
      </c>
      <c r="I201">
        <v>4.4191035799114875E-3</v>
      </c>
      <c r="J201">
        <v>8.0156417002672509E-3</v>
      </c>
      <c r="K201">
        <v>5.4933832009229633E-4</v>
      </c>
      <c r="L201" s="11">
        <f t="shared" si="6"/>
        <v>6.6493840109040593E-3</v>
      </c>
      <c r="M201" s="11">
        <f t="shared" si="7"/>
        <v>6.6493840109040584E-3</v>
      </c>
    </row>
    <row r="202" spans="1:13">
      <c r="A202" s="1">
        <v>45582</v>
      </c>
      <c r="B202">
        <v>2.6468926937659454E-3</v>
      </c>
      <c r="C202">
        <v>-9.4940188686816196E-3</v>
      </c>
      <c r="D202">
        <v>1.4419379315335767E-3</v>
      </c>
      <c r="E202">
        <v>-2.0441560663729264E-2</v>
      </c>
      <c r="F202">
        <v>-6.43304808967049E-3</v>
      </c>
      <c r="G202">
        <v>8.9154935897077792E-3</v>
      </c>
      <c r="H202">
        <v>1.0889794042947543E-3</v>
      </c>
      <c r="I202">
        <v>-1.9903713090805297E-3</v>
      </c>
      <c r="J202">
        <v>-1.9879927608813519E-3</v>
      </c>
      <c r="K202">
        <v>-5.4903671318651259E-4</v>
      </c>
      <c r="L202" s="11">
        <f t="shared" si="6"/>
        <v>-2.6802724785927714E-3</v>
      </c>
      <c r="M202" s="11">
        <f t="shared" si="7"/>
        <v>-2.6802724785927714E-3</v>
      </c>
    </row>
    <row r="203" spans="1:13">
      <c r="A203" s="1">
        <v>45583</v>
      </c>
      <c r="B203">
        <v>-1.995992295834359E-3</v>
      </c>
      <c r="C203">
        <v>7.7251860837310726E-3</v>
      </c>
      <c r="D203">
        <v>3.4556092474378186E-3</v>
      </c>
      <c r="E203">
        <v>0.11087033742104224</v>
      </c>
      <c r="F203">
        <v>-5.7555164164323491E-3</v>
      </c>
      <c r="G203">
        <v>7.8141701678255959E-3</v>
      </c>
      <c r="H203">
        <v>2.2327379515223456E-3</v>
      </c>
      <c r="I203">
        <v>1.6479561413091481E-2</v>
      </c>
      <c r="J203">
        <v>-8.6016769401520143E-4</v>
      </c>
      <c r="K203">
        <v>-3.8126997377643246E-3</v>
      </c>
      <c r="L203" s="11">
        <f t="shared" si="6"/>
        <v>1.3615322614060432E-2</v>
      </c>
      <c r="M203" s="11">
        <f t="shared" si="7"/>
        <v>1.3615322614060432E-2</v>
      </c>
    </row>
    <row r="204" spans="1:13">
      <c r="A204" s="1">
        <v>45586</v>
      </c>
      <c r="B204">
        <v>3.109682144656789E-2</v>
      </c>
      <c r="C204">
        <v>-1.4054453839570158E-2</v>
      </c>
      <c r="D204">
        <v>1.482691786635959E-3</v>
      </c>
      <c r="E204">
        <v>1.0708338267185757E-2</v>
      </c>
      <c r="F204">
        <v>-1.7366034616797088E-2</v>
      </c>
      <c r="G204">
        <v>4.137688103752879E-2</v>
      </c>
      <c r="H204">
        <v>-2.8555328975732319E-4</v>
      </c>
      <c r="I204">
        <v>-4.0273128816861181E-3</v>
      </c>
      <c r="J204">
        <v>-8.3823782071045239E-3</v>
      </c>
      <c r="K204">
        <v>1.6204675806206215E-3</v>
      </c>
      <c r="L204" s="11">
        <f t="shared" si="6"/>
        <v>4.21694672836238E-3</v>
      </c>
      <c r="M204" s="11">
        <f t="shared" si="7"/>
        <v>4.2169467283623809E-3</v>
      </c>
    </row>
    <row r="205" spans="1:13">
      <c r="A205" s="1">
        <v>45587</v>
      </c>
      <c r="B205">
        <v>3.7540705696659238E-4</v>
      </c>
      <c r="C205">
        <v>0</v>
      </c>
      <c r="D205">
        <v>2.0846211081530397E-2</v>
      </c>
      <c r="E205">
        <v>-1.01415895133391E-2</v>
      </c>
      <c r="F205">
        <v>-7.3641629020648747E-4</v>
      </c>
      <c r="G205">
        <v>-8.3496088045531547E-4</v>
      </c>
      <c r="H205">
        <v>-3.6569332591993575E-3</v>
      </c>
      <c r="I205">
        <v>3.8362481937501691E-3</v>
      </c>
      <c r="J205">
        <v>-4.0210411618437636E-3</v>
      </c>
      <c r="K205">
        <v>4.2684473532001999E-3</v>
      </c>
      <c r="L205" s="11">
        <f t="shared" si="6"/>
        <v>9.9353725804033352E-4</v>
      </c>
      <c r="M205" s="11">
        <f t="shared" si="7"/>
        <v>9.9353725804033352E-4</v>
      </c>
    </row>
    <row r="206" spans="1:13">
      <c r="A206" s="1">
        <v>45588</v>
      </c>
      <c r="B206">
        <v>-1.7638273943548888E-2</v>
      </c>
      <c r="C206">
        <v>-2.0734240306382823E-2</v>
      </c>
      <c r="D206">
        <v>-6.8067923313354095E-3</v>
      </c>
      <c r="E206">
        <v>-1.9561933944921117E-2</v>
      </c>
      <c r="F206">
        <v>-1.6826277590938465E-2</v>
      </c>
      <c r="G206">
        <v>-2.8066097599654172E-2</v>
      </c>
      <c r="H206">
        <v>-8.1436040880182858E-3</v>
      </c>
      <c r="I206">
        <v>8.5725618774232792E-3</v>
      </c>
      <c r="J206">
        <v>-1.9819274670943465E-2</v>
      </c>
      <c r="K206">
        <v>6.1710400444781044E-4</v>
      </c>
      <c r="L206" s="11">
        <f t="shared" si="6"/>
        <v>-1.2840682859387154E-2</v>
      </c>
      <c r="M206" s="11">
        <f t="shared" si="7"/>
        <v>-1.2840682859387154E-2</v>
      </c>
    </row>
    <row r="207" spans="1:13">
      <c r="A207" s="1">
        <v>45589</v>
      </c>
      <c r="B207">
        <v>-1.1842611990727447E-2</v>
      </c>
      <c r="C207">
        <v>-1.0439669758878556E-2</v>
      </c>
      <c r="D207">
        <v>3.0616702810437602E-4</v>
      </c>
      <c r="E207">
        <v>7.0199921524014552E-3</v>
      </c>
      <c r="F207">
        <v>-1.2617205350509808E-2</v>
      </c>
      <c r="G207">
        <v>6.0905952670176067E-3</v>
      </c>
      <c r="H207">
        <v>-4.5677834507290571E-3</v>
      </c>
      <c r="I207">
        <v>-5.1203544776290411E-3</v>
      </c>
      <c r="J207">
        <v>0.21919035070290582</v>
      </c>
      <c r="K207">
        <v>-4.7616024981889105E-3</v>
      </c>
      <c r="L207" s="11">
        <f t="shared" si="6"/>
        <v>1.8325787762376644E-2</v>
      </c>
      <c r="M207" s="11">
        <f t="shared" si="7"/>
        <v>1.8325787762376644E-2</v>
      </c>
    </row>
    <row r="208" spans="1:13">
      <c r="A208" s="1">
        <v>45590</v>
      </c>
      <c r="B208">
        <v>-1.2242425589116257E-3</v>
      </c>
      <c r="C208">
        <v>-5.6464877976768468E-3</v>
      </c>
      <c r="D208">
        <v>8.0521494007834704E-3</v>
      </c>
      <c r="E208">
        <v>1.722945926927455E-4</v>
      </c>
      <c r="F208">
        <v>-2.4037781986772089E-3</v>
      </c>
      <c r="G208">
        <v>8.0477915204857364E-3</v>
      </c>
      <c r="H208">
        <v>-2.1492358247273691E-3</v>
      </c>
      <c r="I208">
        <v>1.6469239804364211E-3</v>
      </c>
      <c r="J208">
        <v>3.3438233598412914E-2</v>
      </c>
      <c r="K208">
        <v>-2.7535183639793015E-4</v>
      </c>
      <c r="L208" s="11">
        <f t="shared" si="6"/>
        <v>3.9658296876420307E-3</v>
      </c>
      <c r="M208" s="11">
        <f t="shared" si="7"/>
        <v>3.9658296876420307E-3</v>
      </c>
    </row>
    <row r="209" spans="1:13">
      <c r="A209" s="1">
        <v>45593</v>
      </c>
      <c r="B209">
        <v>-2.786911953111848E-2</v>
      </c>
      <c r="C209">
        <v>-3.7357819147130211E-3</v>
      </c>
      <c r="D209">
        <v>-3.6435414821726075E-3</v>
      </c>
      <c r="E209">
        <v>-7.3673578371682424E-3</v>
      </c>
      <c r="F209">
        <v>7.6088067731983067E-4</v>
      </c>
      <c r="G209">
        <v>-7.2063006553180209E-3</v>
      </c>
      <c r="H209">
        <v>-1.1351028373464911E-2</v>
      </c>
      <c r="I209">
        <v>7.2962937284797302E-3</v>
      </c>
      <c r="J209">
        <v>-2.4815158866217657E-2</v>
      </c>
      <c r="K209">
        <v>5.7495394878939177E-3</v>
      </c>
      <c r="L209" s="11">
        <f t="shared" si="6"/>
        <v>-7.2181574766479462E-3</v>
      </c>
      <c r="M209" s="11">
        <f t="shared" si="7"/>
        <v>-7.2181574766479462E-3</v>
      </c>
    </row>
    <row r="210" spans="1:13">
      <c r="A210" s="1">
        <v>45594</v>
      </c>
      <c r="B210">
        <v>1.5196716763100859E-2</v>
      </c>
      <c r="C210">
        <v>-1.6649279555963292E-2</v>
      </c>
      <c r="D210">
        <v>1.2564736304168989E-2</v>
      </c>
      <c r="E210">
        <v>1.3776173899355815E-2</v>
      </c>
      <c r="F210">
        <v>-6.4630109500029009E-3</v>
      </c>
      <c r="G210">
        <v>5.194852307465192E-3</v>
      </c>
      <c r="H210">
        <v>-1.3777679698679157E-2</v>
      </c>
      <c r="I210">
        <v>-6.4271713460106739E-3</v>
      </c>
      <c r="J210">
        <v>-1.1390120912431301E-2</v>
      </c>
      <c r="K210">
        <v>2.0546888631822746E-4</v>
      </c>
      <c r="L210" s="11">
        <f t="shared" si="6"/>
        <v>-7.7693143026782454E-4</v>
      </c>
      <c r="M210" s="11">
        <f t="shared" si="7"/>
        <v>-7.7693143026782432E-4</v>
      </c>
    </row>
    <row r="211" spans="1:13">
      <c r="A211" s="1">
        <v>45595</v>
      </c>
      <c r="B211">
        <v>8.5631951573990062E-3</v>
      </c>
      <c r="C211">
        <v>5.4912164329172786E-3</v>
      </c>
      <c r="D211">
        <v>1.3427600608939549E-3</v>
      </c>
      <c r="E211">
        <v>-7.5055464404125694E-3</v>
      </c>
      <c r="F211">
        <v>-2.4872588140328999E-2</v>
      </c>
      <c r="G211">
        <v>-1.3522131367537549E-2</v>
      </c>
      <c r="H211">
        <v>-7.7014782554188921E-3</v>
      </c>
      <c r="I211">
        <v>-7.1891816224467497E-4</v>
      </c>
      <c r="J211">
        <v>-7.5909421397178933E-3</v>
      </c>
      <c r="K211">
        <v>4.6547578188023131E-3</v>
      </c>
      <c r="L211" s="11">
        <f t="shared" si="6"/>
        <v>-4.1859675035648032E-3</v>
      </c>
      <c r="M211" s="11">
        <f t="shared" si="7"/>
        <v>-4.1859675035648023E-3</v>
      </c>
    </row>
    <row r="212" spans="1:13">
      <c r="A212" s="1">
        <v>45596</v>
      </c>
      <c r="B212">
        <v>-3.2276854911151176E-2</v>
      </c>
      <c r="C212">
        <v>-9.253562812163274E-3</v>
      </c>
      <c r="D212">
        <v>-6.0527624794218249E-2</v>
      </c>
      <c r="E212">
        <v>3.0382347920638875E-3</v>
      </c>
      <c r="F212">
        <v>8.8946707073096487E-3</v>
      </c>
      <c r="G212">
        <v>-4.7222559644188755E-2</v>
      </c>
      <c r="H212">
        <v>-7.8206474914055413E-4</v>
      </c>
      <c r="I212">
        <v>3.9046620338902827E-3</v>
      </c>
      <c r="J212">
        <v>-2.9897037679701421E-2</v>
      </c>
      <c r="K212">
        <v>2.9467768622079893E-2</v>
      </c>
      <c r="L212" s="11">
        <f t="shared" si="6"/>
        <v>-1.3465436843521974E-2</v>
      </c>
      <c r="M212" s="11">
        <f t="shared" si="7"/>
        <v>-1.3465436843521972E-2</v>
      </c>
    </row>
    <row r="213" spans="1:13">
      <c r="A213" s="1">
        <v>45597</v>
      </c>
      <c r="B213">
        <v>3.5362660676656832E-2</v>
      </c>
      <c r="C213">
        <v>-4.5933902373724855E-3</v>
      </c>
      <c r="D213">
        <v>9.8929707489561203E-3</v>
      </c>
      <c r="E213">
        <v>9.2517871449038225E-5</v>
      </c>
      <c r="F213">
        <v>1.2057707444280474E-2</v>
      </c>
      <c r="G213">
        <v>1.9885484441326096E-2</v>
      </c>
      <c r="H213">
        <v>-2.9504894990741715E-3</v>
      </c>
      <c r="I213">
        <v>1.1975509593614264E-2</v>
      </c>
      <c r="J213">
        <v>-3.4821306973094046E-3</v>
      </c>
      <c r="K213">
        <v>-9.5635959984687879E-3</v>
      </c>
      <c r="L213" s="11">
        <f t="shared" si="6"/>
        <v>6.8677244344057982E-3</v>
      </c>
      <c r="M213" s="11">
        <f t="shared" si="7"/>
        <v>6.8677244344057973E-3</v>
      </c>
    </row>
    <row r="214" spans="1:13">
      <c r="A214" s="1">
        <v>45600</v>
      </c>
      <c r="B214">
        <v>3.1050585270655517E-3</v>
      </c>
      <c r="C214">
        <v>1.5380956394137613E-3</v>
      </c>
      <c r="D214">
        <v>-4.6543639402477632E-3</v>
      </c>
      <c r="E214">
        <v>-7.8027488343035412E-4</v>
      </c>
      <c r="F214">
        <v>-1.1145271377324795E-2</v>
      </c>
      <c r="G214">
        <v>4.8006370039186397E-3</v>
      </c>
      <c r="H214">
        <v>4.5293013647926816E-3</v>
      </c>
      <c r="I214">
        <v>-1.8610258365532539E-2</v>
      </c>
      <c r="J214">
        <v>-2.4660613282233568E-2</v>
      </c>
      <c r="K214">
        <v>1.1760889878538627E-2</v>
      </c>
      <c r="L214" s="11">
        <f t="shared" si="6"/>
        <v>-3.4116799435039763E-3</v>
      </c>
      <c r="M214" s="11">
        <f t="shared" si="7"/>
        <v>-3.4116799435039758E-3</v>
      </c>
    </row>
    <row r="215" spans="1:13">
      <c r="A215" s="1">
        <v>45601</v>
      </c>
      <c r="B215">
        <v>-2.6246257380439175E-2</v>
      </c>
      <c r="C215">
        <v>3.9934342330580908E-3</v>
      </c>
      <c r="D215">
        <v>7.3446695796732797E-3</v>
      </c>
      <c r="E215">
        <v>1.1118268812231769E-2</v>
      </c>
      <c r="F215">
        <v>1.02345300052471E-2</v>
      </c>
      <c r="G215">
        <v>2.837184152782446E-2</v>
      </c>
      <c r="H215">
        <v>9.077863135047215E-3</v>
      </c>
      <c r="I215">
        <v>6.1825010547833514E-4</v>
      </c>
      <c r="J215">
        <v>3.5414290204278664E-2</v>
      </c>
      <c r="K215">
        <v>1.6841744261144598E-2</v>
      </c>
      <c r="L215" s="11">
        <f t="shared" si="6"/>
        <v>9.6768634483544325E-3</v>
      </c>
      <c r="M215" s="11">
        <f t="shared" si="7"/>
        <v>9.6768634483544343E-3</v>
      </c>
    </row>
    <row r="216" spans="1:13">
      <c r="A216" s="1">
        <v>45602</v>
      </c>
      <c r="B216">
        <v>-2.5430439323781417E-2</v>
      </c>
      <c r="C216">
        <v>-2.5546981746446429E-2</v>
      </c>
      <c r="D216">
        <v>2.1192825888916911E-2</v>
      </c>
      <c r="E216">
        <v>2.1337656793546156E-2</v>
      </c>
      <c r="F216">
        <v>-3.4111438306268838E-2</v>
      </c>
      <c r="G216">
        <v>4.0740457923668982E-2</v>
      </c>
      <c r="H216">
        <v>-1.8707159854010391E-2</v>
      </c>
      <c r="I216">
        <v>-1.0402647786598274E-2</v>
      </c>
      <c r="J216">
        <v>0.14751032444224244</v>
      </c>
      <c r="K216">
        <v>3.0494896691808382E-2</v>
      </c>
      <c r="L216" s="11">
        <f t="shared" si="6"/>
        <v>1.4707749472307753E-2</v>
      </c>
      <c r="M216" s="11">
        <f t="shared" si="7"/>
        <v>1.4707749472307751E-2</v>
      </c>
    </row>
    <row r="217" spans="1:13">
      <c r="A217" s="1">
        <v>45603</v>
      </c>
      <c r="B217">
        <v>2.5958086235177147E-2</v>
      </c>
      <c r="C217">
        <v>-6.2796420469379832E-4</v>
      </c>
      <c r="D217">
        <v>1.2494587541633573E-2</v>
      </c>
      <c r="E217">
        <v>2.093020545083335E-2</v>
      </c>
      <c r="F217">
        <v>7.9661285286947159E-3</v>
      </c>
      <c r="G217">
        <v>2.2457315911883713E-2</v>
      </c>
      <c r="H217">
        <v>-4.3107021628575604E-3</v>
      </c>
      <c r="I217">
        <v>4.1629602352344364E-4</v>
      </c>
      <c r="J217">
        <v>2.9043790657009128E-2</v>
      </c>
      <c r="K217">
        <v>-4.4435520090950753E-3</v>
      </c>
      <c r="L217" s="11">
        <f t="shared" si="6"/>
        <v>1.0988419197210865E-2</v>
      </c>
      <c r="M217" s="11">
        <f t="shared" si="7"/>
        <v>1.0988419197210863E-2</v>
      </c>
    </row>
    <row r="218" spans="1:13">
      <c r="A218" s="1">
        <v>45604</v>
      </c>
      <c r="B218">
        <v>4.6363555971031811E-3</v>
      </c>
      <c r="C218">
        <v>4.0842096339208656E-3</v>
      </c>
      <c r="D218">
        <v>-6.7930279882383315E-3</v>
      </c>
      <c r="E218">
        <v>-1.8831446523435158E-3</v>
      </c>
      <c r="F218">
        <v>-5.2689849519138576E-4</v>
      </c>
      <c r="G218">
        <v>-8.3961121311846298E-3</v>
      </c>
      <c r="H218">
        <v>6.7683289329567575E-3</v>
      </c>
      <c r="I218">
        <v>1.487731978753648E-2</v>
      </c>
      <c r="J218">
        <v>8.1876653729253901E-2</v>
      </c>
      <c r="K218">
        <v>1.2660938811461797E-3</v>
      </c>
      <c r="L218" s="11">
        <f t="shared" si="6"/>
        <v>9.5909778294959516E-3</v>
      </c>
      <c r="M218" s="11">
        <f t="shared" si="7"/>
        <v>9.5909778294959499E-3</v>
      </c>
    </row>
    <row r="219" spans="1:13">
      <c r="A219" s="1">
        <v>45607</v>
      </c>
      <c r="B219">
        <v>-1.7932397766711627E-2</v>
      </c>
      <c r="C219">
        <v>-8.7609353074897811E-3</v>
      </c>
      <c r="D219">
        <v>-1.0720868043422871E-2</v>
      </c>
      <c r="E219">
        <v>1.3081133907086873E-2</v>
      </c>
      <c r="F219">
        <v>9.4886615182800949E-3</v>
      </c>
      <c r="G219">
        <v>-1.6053591645322385E-2</v>
      </c>
      <c r="H219">
        <v>-5.1481815629936811E-3</v>
      </c>
      <c r="I219">
        <v>2.8293163559797607E-2</v>
      </c>
      <c r="J219">
        <v>8.9595911431190389E-2</v>
      </c>
      <c r="K219">
        <v>-3.5407553248082424E-3</v>
      </c>
      <c r="L219" s="11">
        <f t="shared" si="6"/>
        <v>7.8302140765606366E-3</v>
      </c>
      <c r="M219" s="11">
        <f t="shared" si="7"/>
        <v>7.8302140765606383E-3</v>
      </c>
    </row>
    <row r="220" spans="1:13">
      <c r="A220" s="1">
        <v>45608</v>
      </c>
      <c r="B220">
        <v>-2.5443128182735086E-2</v>
      </c>
      <c r="C220">
        <v>-2.5252742837706954E-3</v>
      </c>
      <c r="D220">
        <v>1.2009207178779402E-2</v>
      </c>
      <c r="E220">
        <v>1.7456294095123281E-2</v>
      </c>
      <c r="F220">
        <v>7.8343291084648214E-4</v>
      </c>
      <c r="G220">
        <v>2.0859007349252723E-2</v>
      </c>
      <c r="H220">
        <v>4.8711630871944855E-4</v>
      </c>
      <c r="I220">
        <v>-1.5053290361863425E-2</v>
      </c>
      <c r="J220">
        <v>-6.1457170758928537E-2</v>
      </c>
      <c r="K220">
        <v>7.0751296599278479E-3</v>
      </c>
      <c r="L220" s="11">
        <f t="shared" si="6"/>
        <v>-4.5808676084648555E-3</v>
      </c>
      <c r="M220" s="11">
        <f t="shared" si="7"/>
        <v>-4.5808676084648555E-3</v>
      </c>
    </row>
    <row r="221" spans="1:13">
      <c r="A221" s="1">
        <v>45609</v>
      </c>
      <c r="B221">
        <v>-3.5820052447685269E-2</v>
      </c>
      <c r="C221">
        <v>-3.1645997233923362E-3</v>
      </c>
      <c r="D221">
        <v>5.1296798269415689E-3</v>
      </c>
      <c r="E221">
        <v>1.3386175354636931E-2</v>
      </c>
      <c r="F221">
        <v>-1.8264441832912537E-3</v>
      </c>
      <c r="G221">
        <v>-1.3621831983099852E-2</v>
      </c>
      <c r="H221">
        <v>2.434109197881007E-3</v>
      </c>
      <c r="I221">
        <v>1.0121430894999506E-2</v>
      </c>
      <c r="J221">
        <v>5.3274073853859516E-3</v>
      </c>
      <c r="K221">
        <v>-1.6696860916440848E-3</v>
      </c>
      <c r="L221" s="11">
        <f t="shared" si="6"/>
        <v>-1.9703811769267838E-3</v>
      </c>
      <c r="M221" s="11">
        <f t="shared" si="7"/>
        <v>-1.9703811769267833E-3</v>
      </c>
    </row>
    <row r="222" spans="1:13">
      <c r="A222" s="1">
        <v>45610</v>
      </c>
      <c r="B222">
        <v>-1.3074243159928778E-2</v>
      </c>
      <c r="C222">
        <v>-7.1428146990533126E-3</v>
      </c>
      <c r="D222">
        <v>3.9746272433351937E-3</v>
      </c>
      <c r="E222">
        <v>8.1761403807907307E-3</v>
      </c>
      <c r="F222">
        <v>-1.0977500433188458E-2</v>
      </c>
      <c r="G222">
        <v>3.3498394103466111E-3</v>
      </c>
      <c r="H222">
        <v>2.4885059037198509E-3</v>
      </c>
      <c r="I222">
        <v>-5.7114477084970749E-3</v>
      </c>
      <c r="J222">
        <v>-5.7715595089095295E-2</v>
      </c>
      <c r="K222">
        <v>-6.5640268482453079E-3</v>
      </c>
      <c r="L222" s="11">
        <f t="shared" si="6"/>
        <v>-8.3196514999815847E-3</v>
      </c>
      <c r="M222" s="11">
        <f t="shared" si="7"/>
        <v>-8.3196514999815847E-3</v>
      </c>
    </row>
    <row r="223" spans="1:13">
      <c r="A223" s="1">
        <v>45611</v>
      </c>
      <c r="B223">
        <v>1.4840039531023752E-2</v>
      </c>
      <c r="C223">
        <v>-1.2949662533732087E-2</v>
      </c>
      <c r="D223">
        <v>-2.7852606626585397E-2</v>
      </c>
      <c r="E223">
        <v>-1.5885134412059188E-2</v>
      </c>
      <c r="F223">
        <v>1.2949439092057702E-2</v>
      </c>
      <c r="G223">
        <v>-3.2570089769521138E-2</v>
      </c>
      <c r="H223">
        <v>-3.9539636382573295E-2</v>
      </c>
      <c r="I223">
        <v>-2.0280939418249044E-3</v>
      </c>
      <c r="J223">
        <v>3.0657525449786061E-2</v>
      </c>
      <c r="K223">
        <v>-6.8298413152831916E-3</v>
      </c>
      <c r="L223" s="11">
        <f t="shared" si="6"/>
        <v>-7.920806090871169E-3</v>
      </c>
      <c r="M223" s="11">
        <f t="shared" si="7"/>
        <v>-7.920806090871169E-3</v>
      </c>
    </row>
    <row r="224" spans="1:13">
      <c r="A224" s="1">
        <v>45614</v>
      </c>
      <c r="B224">
        <v>2.6250036462615034E-2</v>
      </c>
      <c r="C224">
        <v>1.9436988005829825E-3</v>
      </c>
      <c r="D224">
        <v>1.8313442794848367E-3</v>
      </c>
      <c r="E224">
        <v>2.8023162780436595E-2</v>
      </c>
      <c r="F224">
        <v>-2.3089181321468755E-2</v>
      </c>
      <c r="G224">
        <v>-1.2889219403744656E-2</v>
      </c>
      <c r="H224">
        <v>-1.8283596008726866E-3</v>
      </c>
      <c r="I224">
        <v>2.0117928461965251E-2</v>
      </c>
      <c r="J224">
        <v>5.6186046847984228E-2</v>
      </c>
      <c r="K224">
        <v>1.600791850484562E-4</v>
      </c>
      <c r="L224" s="11">
        <f t="shared" si="6"/>
        <v>9.6705536492031289E-3</v>
      </c>
      <c r="M224" s="11">
        <f t="shared" si="7"/>
        <v>9.6705536492031289E-3</v>
      </c>
    </row>
    <row r="225" spans="1:13">
      <c r="A225" s="1">
        <v>45615</v>
      </c>
      <c r="B225">
        <v>1.2024821332056401E-2</v>
      </c>
      <c r="C225">
        <v>1.1800756883391772E-2</v>
      </c>
      <c r="D225">
        <v>4.8825575502546847E-3</v>
      </c>
      <c r="E225">
        <v>2.8652405266526015E-2</v>
      </c>
      <c r="F225">
        <v>-1.3085730002833196E-2</v>
      </c>
      <c r="G225">
        <v>4.8947625080666635E-2</v>
      </c>
      <c r="H225">
        <v>-1.0168570128278764E-2</v>
      </c>
      <c r="I225">
        <v>-2.041833508462243E-2</v>
      </c>
      <c r="J225">
        <v>2.1432396454288627E-2</v>
      </c>
      <c r="K225">
        <v>-1.6341606672009013E-2</v>
      </c>
      <c r="L225" s="11">
        <f t="shared" si="6"/>
        <v>6.7726320679440746E-3</v>
      </c>
      <c r="M225" s="11">
        <f t="shared" si="7"/>
        <v>6.7726320679440729E-3</v>
      </c>
    </row>
    <row r="226" spans="1:13">
      <c r="A226" s="1">
        <v>45616</v>
      </c>
      <c r="B226">
        <v>3.2966738146820163E-3</v>
      </c>
      <c r="C226">
        <v>6.3908215698091908E-3</v>
      </c>
      <c r="D226">
        <v>-5.5051748040680915E-3</v>
      </c>
      <c r="E226">
        <v>1.4380443644577801E-2</v>
      </c>
      <c r="F226">
        <v>-7.4415647902258408E-3</v>
      </c>
      <c r="G226">
        <v>-7.618486605595054E-3</v>
      </c>
      <c r="H226">
        <v>1.2889285918157745E-2</v>
      </c>
      <c r="I226">
        <v>-9.150378338684817E-4</v>
      </c>
      <c r="J226">
        <v>-1.1473991967352548E-2</v>
      </c>
      <c r="K226">
        <v>3.3160937420406711E-3</v>
      </c>
      <c r="L226" s="11">
        <f t="shared" si="6"/>
        <v>7.3190626881574077E-4</v>
      </c>
      <c r="M226" s="11">
        <f t="shared" si="7"/>
        <v>7.3190626881574077E-4</v>
      </c>
    </row>
    <row r="227" spans="1:13">
      <c r="A227" s="1">
        <v>45617</v>
      </c>
      <c r="B227">
        <v>-1.8277643315153691E-2</v>
      </c>
      <c r="C227">
        <v>1.2224163902104346E-2</v>
      </c>
      <c r="D227">
        <v>-4.3167841339755153E-3</v>
      </c>
      <c r="E227">
        <v>1.5421174700805063E-2</v>
      </c>
      <c r="F227">
        <v>2.3718751186466491E-2</v>
      </c>
      <c r="G227">
        <v>5.3465664523333345E-3</v>
      </c>
      <c r="H227">
        <v>1.0079322932736279E-2</v>
      </c>
      <c r="I227">
        <v>1.8318697138630657E-2</v>
      </c>
      <c r="J227">
        <v>-6.9876447662160501E-3</v>
      </c>
      <c r="K227">
        <v>1.7983844561176854E-2</v>
      </c>
      <c r="L227" s="11">
        <f t="shared" si="6"/>
        <v>7.3510448658907768E-3</v>
      </c>
      <c r="M227" s="11">
        <f t="shared" si="7"/>
        <v>7.3510448658907768E-3</v>
      </c>
    </row>
    <row r="228" spans="1:13">
      <c r="A228" s="1">
        <v>45618</v>
      </c>
      <c r="B228">
        <v>4.1001251473899547E-2</v>
      </c>
      <c r="C228">
        <v>2.5094320051635144E-3</v>
      </c>
      <c r="D228">
        <v>1.0003109717374281E-2</v>
      </c>
      <c r="E228">
        <v>3.4540888414147375E-4</v>
      </c>
      <c r="F228">
        <v>3.0625708557777243E-2</v>
      </c>
      <c r="G228">
        <v>-3.2181222133057186E-2</v>
      </c>
      <c r="H228">
        <v>1.0352866091777768E-2</v>
      </c>
      <c r="I228">
        <v>2.4385399023660659E-2</v>
      </c>
      <c r="J228">
        <v>3.8040225983176912E-2</v>
      </c>
      <c r="K228">
        <v>7.6402060602265287E-4</v>
      </c>
      <c r="L228" s="11">
        <f t="shared" si="6"/>
        <v>1.2584620020993687E-2</v>
      </c>
      <c r="M228" s="11">
        <f t="shared" si="7"/>
        <v>1.2584620020993687E-2</v>
      </c>
    </row>
    <row r="229" spans="1:13">
      <c r="A229" s="1">
        <v>45621</v>
      </c>
      <c r="B229">
        <v>2.5520885449305863E-2</v>
      </c>
      <c r="C229">
        <v>7.196428104075725E-3</v>
      </c>
      <c r="D229">
        <v>4.2926340600544233E-3</v>
      </c>
      <c r="E229">
        <v>-3.5865794851737909E-2</v>
      </c>
      <c r="F229">
        <v>2.4031088796507394E-2</v>
      </c>
      <c r="G229">
        <v>-4.1775171137806155E-2</v>
      </c>
      <c r="H229">
        <v>6.4816005225549755E-3</v>
      </c>
      <c r="I229">
        <v>-6.4390951955863862E-3</v>
      </c>
      <c r="J229">
        <v>-3.9624464821427452E-2</v>
      </c>
      <c r="K229">
        <v>7.3152137551080187E-4</v>
      </c>
      <c r="L229" s="11">
        <f t="shared" si="6"/>
        <v>-5.5450367698548723E-3</v>
      </c>
      <c r="M229" s="11">
        <f t="shared" si="7"/>
        <v>-5.5450367698548723E-3</v>
      </c>
    </row>
    <row r="230" spans="1:13">
      <c r="A230" s="1">
        <v>45622</v>
      </c>
      <c r="B230">
        <v>-1.5284203157365339E-2</v>
      </c>
      <c r="C230">
        <v>2.640689218857295E-3</v>
      </c>
      <c r="D230">
        <v>2.196805013008829E-2</v>
      </c>
      <c r="E230">
        <v>8.0984629131355401E-3</v>
      </c>
      <c r="F230">
        <v>-2.0817498393951417E-2</v>
      </c>
      <c r="G230">
        <v>6.6166944601750988E-3</v>
      </c>
      <c r="H230">
        <v>-5.4583975865802881E-3</v>
      </c>
      <c r="I230">
        <v>-1.1390370011617246E-2</v>
      </c>
      <c r="J230">
        <v>-1.0631895668965496E-3</v>
      </c>
      <c r="K230">
        <v>6.4201993366912458E-3</v>
      </c>
      <c r="L230" s="11">
        <f t="shared" si="6"/>
        <v>-8.2695626574633705E-4</v>
      </c>
      <c r="M230" s="11">
        <f t="shared" si="7"/>
        <v>-8.2695626574633694E-4</v>
      </c>
    </row>
    <row r="231" spans="1:13">
      <c r="A231" s="1">
        <v>45623</v>
      </c>
      <c r="B231">
        <v>1.0878213381565471E-2</v>
      </c>
      <c r="C231">
        <v>-1.8590852749492681E-3</v>
      </c>
      <c r="D231">
        <v>-1.1682551380522321E-2</v>
      </c>
      <c r="E231">
        <v>5.4321010797049318E-3</v>
      </c>
      <c r="F231">
        <v>9.405805788354149E-3</v>
      </c>
      <c r="G231">
        <v>-1.1539692410866387E-2</v>
      </c>
      <c r="H231">
        <v>3.4533905994797998E-3</v>
      </c>
      <c r="I231">
        <v>8.2439344020746042E-3</v>
      </c>
      <c r="J231">
        <v>-1.5788061864524749E-2</v>
      </c>
      <c r="K231">
        <v>1.3295549995153921E-2</v>
      </c>
      <c r="L231" s="11">
        <f t="shared" si="6"/>
        <v>9.8396043154701544E-4</v>
      </c>
      <c r="M231" s="11">
        <f t="shared" si="7"/>
        <v>9.8396043154701522E-4</v>
      </c>
    </row>
    <row r="232" spans="1:13">
      <c r="A232" s="1">
        <v>45625</v>
      </c>
      <c r="B232">
        <v>1.9947563429608017E-2</v>
      </c>
      <c r="C232">
        <v>2.1111781441673916E-3</v>
      </c>
      <c r="D232">
        <v>1.1112116204508027E-3</v>
      </c>
      <c r="E232">
        <v>1.0793957203875548E-2</v>
      </c>
      <c r="F232">
        <v>5.4889900317758311E-3</v>
      </c>
      <c r="G232">
        <v>2.1501536097879637E-2</v>
      </c>
      <c r="H232">
        <v>4.4862072108617923E-3</v>
      </c>
      <c r="I232">
        <v>9.3587248129638478E-3</v>
      </c>
      <c r="J232">
        <v>3.6858987875110216E-2</v>
      </c>
      <c r="K232">
        <v>3.552885189124888E-3</v>
      </c>
      <c r="L232" s="11">
        <f t="shared" si="6"/>
        <v>1.1521124161581797E-2</v>
      </c>
      <c r="M232" s="11">
        <f t="shared" si="7"/>
        <v>1.1521124161581797E-2</v>
      </c>
    </row>
    <row r="233" spans="1:13">
      <c r="A233" s="1">
        <v>45628</v>
      </c>
      <c r="B233">
        <v>7.0766265275932216E-3</v>
      </c>
      <c r="C233">
        <v>-6.7103490219782014E-3</v>
      </c>
      <c r="D233">
        <v>1.7758421343760489E-2</v>
      </c>
      <c r="E233">
        <v>1.2325067044657301E-2</v>
      </c>
      <c r="F233">
        <v>9.1871188469989651E-3</v>
      </c>
      <c r="G233">
        <v>2.7485392899697647E-3</v>
      </c>
      <c r="H233">
        <v>-2.4472669944678449E-3</v>
      </c>
      <c r="I233">
        <v>-9.2719511734522531E-3</v>
      </c>
      <c r="J233">
        <v>3.4563659025394378E-2</v>
      </c>
      <c r="K233">
        <v>-4.6583387820198219E-3</v>
      </c>
      <c r="L233" s="11">
        <f t="shared" si="6"/>
        <v>6.0571526106456015E-3</v>
      </c>
      <c r="M233" s="11">
        <f t="shared" si="7"/>
        <v>6.0571526106455997E-3</v>
      </c>
    </row>
    <row r="234" spans="1:13">
      <c r="A234" s="1">
        <v>45629</v>
      </c>
      <c r="B234">
        <v>-9.8376986851986814E-3</v>
      </c>
      <c r="C234">
        <v>-2.0424649817991636E-3</v>
      </c>
      <c r="D234">
        <v>5.1051071329522024E-4</v>
      </c>
      <c r="E234">
        <v>4.934605480395815E-3</v>
      </c>
      <c r="F234">
        <v>-2.9080086084702916E-3</v>
      </c>
      <c r="G234">
        <v>1.1758018654955293E-2</v>
      </c>
      <c r="H234">
        <v>-8.2796686361377159E-3</v>
      </c>
      <c r="I234">
        <v>5.9106053473301223E-4</v>
      </c>
      <c r="J234">
        <v>-1.5878302299991875E-2</v>
      </c>
      <c r="K234">
        <v>2.6708262793173176E-2</v>
      </c>
      <c r="L234" s="11">
        <f t="shared" si="6"/>
        <v>5.5563149649547929E-4</v>
      </c>
      <c r="M234" s="11">
        <f t="shared" si="7"/>
        <v>5.5563149649547896E-4</v>
      </c>
    </row>
    <row r="235" spans="1:13">
      <c r="A235" s="1">
        <v>45630</v>
      </c>
      <c r="B235">
        <v>2.1161282447070828E-2</v>
      </c>
      <c r="C235">
        <v>-2.0623464262123914E-2</v>
      </c>
      <c r="D235">
        <v>1.4424834962613708E-2</v>
      </c>
      <c r="E235">
        <v>9.8540350674938271E-3</v>
      </c>
      <c r="F235">
        <v>-6.2135444894393377E-3</v>
      </c>
      <c r="G235">
        <v>3.4792414289373408E-2</v>
      </c>
      <c r="H235">
        <v>-9.4000853767899351E-3</v>
      </c>
      <c r="I235">
        <v>-8.5655813228958655E-3</v>
      </c>
      <c r="J235">
        <v>1.8524782309775167E-2</v>
      </c>
      <c r="K235">
        <v>1.0545143924459266E-2</v>
      </c>
      <c r="L235" s="11">
        <f t="shared" si="6"/>
        <v>6.4499817549537163E-3</v>
      </c>
      <c r="M235" s="11">
        <f t="shared" si="7"/>
        <v>6.4499817549537155E-3</v>
      </c>
    </row>
    <row r="236" spans="1:13">
      <c r="A236" s="1">
        <v>45631</v>
      </c>
      <c r="B236">
        <v>-1.0171851293706125E-2</v>
      </c>
      <c r="C236">
        <v>1.1412991207167211E-2</v>
      </c>
      <c r="D236">
        <v>1.1887887529789642E-2</v>
      </c>
      <c r="E236">
        <v>7.4748069027761321E-3</v>
      </c>
      <c r="F236">
        <v>2.6796255773346989E-3</v>
      </c>
      <c r="G236">
        <v>-4.8224424230491891E-4</v>
      </c>
      <c r="H236">
        <v>1.9352870806519373E-3</v>
      </c>
      <c r="I236">
        <v>-1.4597733279901215E-2</v>
      </c>
      <c r="J236">
        <v>3.2296811653515833E-2</v>
      </c>
      <c r="K236">
        <v>-7.6083863678464425E-3</v>
      </c>
      <c r="L236" s="11">
        <f t="shared" si="6"/>
        <v>3.4827194767476761E-3</v>
      </c>
      <c r="M236" s="11">
        <f t="shared" si="7"/>
        <v>3.4827194767476756E-3</v>
      </c>
    </row>
    <row r="237" spans="1:13">
      <c r="A237" s="1">
        <v>45632</v>
      </c>
      <c r="B237">
        <v>-1.748902486236914E-2</v>
      </c>
      <c r="C237">
        <v>-6.1983624847850027E-3</v>
      </c>
      <c r="D237">
        <v>2.146284553727229E-3</v>
      </c>
      <c r="E237">
        <v>1.8379503858859891E-2</v>
      </c>
      <c r="F237">
        <v>3.9449448370780793E-3</v>
      </c>
      <c r="G237">
        <v>-1.806142753829576E-2</v>
      </c>
      <c r="H237">
        <v>-8.4520303806048247E-3</v>
      </c>
      <c r="I237">
        <v>8.8683056724416787E-3</v>
      </c>
      <c r="J237">
        <v>5.3397958017246561E-2</v>
      </c>
      <c r="K237">
        <v>-2.2515037105177105E-2</v>
      </c>
      <c r="L237" s="11">
        <f t="shared" si="6"/>
        <v>1.4021114568121612E-3</v>
      </c>
      <c r="M237" s="11">
        <f t="shared" si="7"/>
        <v>1.4021114568121607E-3</v>
      </c>
    </row>
    <row r="238" spans="1:13">
      <c r="A238" s="1">
        <v>45635</v>
      </c>
      <c r="B238">
        <v>2.0203993752546445E-2</v>
      </c>
      <c r="C238">
        <v>1.1194591044936253E-3</v>
      </c>
      <c r="D238">
        <v>5.5233584870586494E-3</v>
      </c>
      <c r="E238">
        <v>-2.2519618303364686E-2</v>
      </c>
      <c r="F238">
        <v>-1.5844776027106988E-2</v>
      </c>
      <c r="G238">
        <v>-2.5484596143636407E-2</v>
      </c>
      <c r="H238">
        <v>1.0647155560789434E-2</v>
      </c>
      <c r="I238">
        <v>-7.9912484629104386E-3</v>
      </c>
      <c r="J238">
        <v>1.4644862094195243E-3</v>
      </c>
      <c r="K238">
        <v>-3.2086043200037051E-2</v>
      </c>
      <c r="L238" s="11">
        <f t="shared" si="6"/>
        <v>-6.49678290227479E-3</v>
      </c>
      <c r="M238" s="11">
        <f t="shared" si="7"/>
        <v>-6.4967829022747892E-3</v>
      </c>
    </row>
    <row r="239" spans="1:13">
      <c r="A239" s="1">
        <v>45636</v>
      </c>
      <c r="B239">
        <v>4.4956782470815915E-2</v>
      </c>
      <c r="C239">
        <v>4.9520874717943197E-3</v>
      </c>
      <c r="D239">
        <v>-6.0311659810086127E-3</v>
      </c>
      <c r="E239">
        <v>-3.7214684910680251E-4</v>
      </c>
      <c r="F239">
        <v>-1.1591973585301618E-2</v>
      </c>
      <c r="G239">
        <v>-2.6943187698904802E-2</v>
      </c>
      <c r="H239">
        <v>2.3200941387915286E-3</v>
      </c>
      <c r="I239">
        <v>-1.1579817002021597E-2</v>
      </c>
      <c r="J239">
        <v>2.8733372954487191E-2</v>
      </c>
      <c r="K239">
        <v>-1.4637149584882159E-2</v>
      </c>
      <c r="L239" s="11">
        <f t="shared" si="6"/>
        <v>9.8068963346633611E-4</v>
      </c>
      <c r="M239" s="11">
        <f t="shared" si="7"/>
        <v>9.8068963346633611E-4</v>
      </c>
    </row>
    <row r="240" spans="1:13">
      <c r="A240" s="1">
        <v>45637</v>
      </c>
      <c r="B240">
        <v>1.1334555400191126E-2</v>
      </c>
      <c r="C240">
        <v>-4.2918230509488842E-3</v>
      </c>
      <c r="D240">
        <v>1.2767113946620334E-2</v>
      </c>
      <c r="E240">
        <v>2.5411969773980747E-2</v>
      </c>
      <c r="F240">
        <v>2.7495480420284713E-2</v>
      </c>
      <c r="G240">
        <v>3.1391040457626085E-2</v>
      </c>
      <c r="H240">
        <v>-1.9206638020977107E-2</v>
      </c>
      <c r="I240">
        <v>2.6485940676252984E-3</v>
      </c>
      <c r="J240">
        <v>5.9303222919347309E-2</v>
      </c>
      <c r="K240">
        <v>7.118435727023531E-3</v>
      </c>
      <c r="L240" s="11">
        <f t="shared" si="6"/>
        <v>1.5397195164077317E-2</v>
      </c>
      <c r="M240" s="11">
        <f t="shared" si="7"/>
        <v>1.5397195164077315E-2</v>
      </c>
    </row>
    <row r="241" spans="1:13">
      <c r="A241" s="1">
        <v>45638</v>
      </c>
      <c r="B241">
        <v>1.0785690610504384E-2</v>
      </c>
      <c r="C241">
        <v>1.915709735474791E-2</v>
      </c>
      <c r="D241">
        <v>1.2694323621131876E-3</v>
      </c>
      <c r="E241">
        <v>-1.175579759366796E-2</v>
      </c>
      <c r="F241">
        <v>-1.1287314382556257E-2</v>
      </c>
      <c r="G241">
        <v>-1.4141116035699564E-2</v>
      </c>
      <c r="H241">
        <v>1.3586730735726027E-2</v>
      </c>
      <c r="I241">
        <v>-6.0962539562937623E-3</v>
      </c>
      <c r="J241">
        <v>-1.5702575706075472E-2</v>
      </c>
      <c r="K241">
        <v>-4.7444006078943834E-3</v>
      </c>
      <c r="L241" s="11">
        <f t="shared" si="6"/>
        <v>-1.8928507219095889E-3</v>
      </c>
      <c r="M241" s="11">
        <f t="shared" si="7"/>
        <v>-1.8928507219095891E-3</v>
      </c>
    </row>
    <row r="242" spans="1:13">
      <c r="A242" s="1">
        <v>45639</v>
      </c>
      <c r="B242">
        <v>1.1326342154897251E-2</v>
      </c>
      <c r="C242">
        <v>-1.1278237195503582E-2</v>
      </c>
      <c r="D242">
        <v>-5.0938475186177445E-3</v>
      </c>
      <c r="E242">
        <v>-7.2173224178952999E-3</v>
      </c>
      <c r="F242">
        <v>-9.1072145523757309E-3</v>
      </c>
      <c r="G242">
        <v>-2.2498847405355127E-2</v>
      </c>
      <c r="H242">
        <v>-5.8526766559224841E-3</v>
      </c>
      <c r="I242">
        <v>-4.0891238040851041E-3</v>
      </c>
      <c r="J242">
        <v>4.3362842903963861E-2</v>
      </c>
      <c r="K242">
        <v>9.793456535677425E-3</v>
      </c>
      <c r="L242" s="11">
        <f t="shared" si="6"/>
        <v>-6.5462795521653615E-5</v>
      </c>
      <c r="M242" s="11">
        <f t="shared" si="7"/>
        <v>-6.5462795521653574E-5</v>
      </c>
    </row>
    <row r="243" spans="1:13">
      <c r="A243" s="1">
        <v>45642</v>
      </c>
      <c r="B243">
        <v>2.0748625989393199E-2</v>
      </c>
      <c r="C243">
        <v>-9.030398376196902E-3</v>
      </c>
      <c r="D243">
        <v>9.6585543668430418E-3</v>
      </c>
      <c r="E243">
        <v>2.4051519631720364E-3</v>
      </c>
      <c r="F243">
        <v>-6.4729420430842399E-4</v>
      </c>
      <c r="G243">
        <v>-1.6759867351586522E-2</v>
      </c>
      <c r="H243">
        <v>-1.2344082076617746E-2</v>
      </c>
      <c r="I243">
        <v>-4.4138747378050236E-2</v>
      </c>
      <c r="J243">
        <v>6.1412505679675933E-2</v>
      </c>
      <c r="K243">
        <v>5.6520317867592151E-3</v>
      </c>
      <c r="L243" s="11">
        <f t="shared" si="6"/>
        <v>1.6956480399083606E-3</v>
      </c>
      <c r="M243" s="11">
        <f t="shared" si="7"/>
        <v>1.6956480399083595E-3</v>
      </c>
    </row>
    <row r="244" spans="1:13">
      <c r="A244" s="1">
        <v>45643</v>
      </c>
      <c r="B244">
        <v>-8.0845060420009496E-4</v>
      </c>
      <c r="C244">
        <v>1.3589156047880246E-2</v>
      </c>
      <c r="D244">
        <v>6.3553920873606895E-3</v>
      </c>
      <c r="E244">
        <v>-2.1170931632975565E-3</v>
      </c>
      <c r="F244">
        <v>1.0362715541204048E-2</v>
      </c>
      <c r="G244">
        <v>-1.2196863234307354E-2</v>
      </c>
      <c r="H244">
        <v>7.690532953876783E-4</v>
      </c>
      <c r="I244">
        <v>-1.1061102850139948E-2</v>
      </c>
      <c r="J244">
        <v>3.6369912179739172E-2</v>
      </c>
      <c r="K244">
        <v>-8.3664595381920392E-3</v>
      </c>
      <c r="L244" s="11">
        <f t="shared" si="6"/>
        <v>3.2896259761434846E-3</v>
      </c>
      <c r="M244" s="11">
        <f t="shared" si="7"/>
        <v>3.2896259761434842E-3</v>
      </c>
    </row>
    <row r="245" spans="1:13">
      <c r="A245" s="1">
        <v>45644</v>
      </c>
      <c r="B245">
        <v>-2.3695524764579812E-3</v>
      </c>
      <c r="C245">
        <v>-8.6751643159054259E-3</v>
      </c>
      <c r="D245">
        <v>-3.7561028320671208E-2</v>
      </c>
      <c r="E245">
        <v>-3.2182625888288241E-2</v>
      </c>
      <c r="F245">
        <v>-1.4102555602056088E-2</v>
      </c>
      <c r="G245">
        <v>-1.1350607336729657E-2</v>
      </c>
      <c r="H245">
        <v>-1.0951734088516796E-2</v>
      </c>
      <c r="I245">
        <v>-2.3781057443472586E-2</v>
      </c>
      <c r="J245">
        <v>-8.2794943695174816E-2</v>
      </c>
      <c r="K245">
        <v>-9.596574351247944E-3</v>
      </c>
      <c r="L245" s="11">
        <f t="shared" si="6"/>
        <v>-2.3336584351852076E-2</v>
      </c>
      <c r="M245" s="11">
        <f t="shared" si="7"/>
        <v>-2.3336584351852076E-2</v>
      </c>
    </row>
    <row r="246" spans="1:13">
      <c r="A246" s="1">
        <v>45645</v>
      </c>
      <c r="B246">
        <v>2.560536608719266E-2</v>
      </c>
      <c r="C246">
        <v>-6.3642604836210426E-3</v>
      </c>
      <c r="D246">
        <v>-8.23113059537528E-4</v>
      </c>
      <c r="E246">
        <v>1.4040796364197083E-2</v>
      </c>
      <c r="F246">
        <v>2.6007603936817336E-3</v>
      </c>
      <c r="G246">
        <v>1.3730391877139203E-2</v>
      </c>
      <c r="H246">
        <v>-1.9167211520861871E-2</v>
      </c>
      <c r="I246">
        <v>-1.268070908377672E-2</v>
      </c>
      <c r="J246">
        <v>-8.9973221801417091E-3</v>
      </c>
      <c r="K246">
        <v>1.1217616393627283E-2</v>
      </c>
      <c r="L246" s="11">
        <f t="shared" si="6"/>
        <v>1.9162314787899092E-3</v>
      </c>
      <c r="M246" s="11">
        <f t="shared" si="7"/>
        <v>1.9162314787899092E-3</v>
      </c>
    </row>
    <row r="247" spans="1:13">
      <c r="A247" s="1">
        <v>45646</v>
      </c>
      <c r="B247">
        <v>1.7510891840240017E-3</v>
      </c>
      <c r="C247">
        <v>1.6012404376728462E-3</v>
      </c>
      <c r="D247">
        <v>-9.8382475736435993E-4</v>
      </c>
      <c r="E247">
        <v>7.7712850166076208E-3</v>
      </c>
      <c r="F247">
        <v>-2.0752111878798996E-3</v>
      </c>
      <c r="G247">
        <v>3.0762265088741803E-2</v>
      </c>
      <c r="H247">
        <v>8.714525767893555E-3</v>
      </c>
      <c r="I247">
        <v>-8.9004085982745673E-3</v>
      </c>
      <c r="J247">
        <v>-3.4642491239587292E-2</v>
      </c>
      <c r="K247">
        <v>2.1125572899407752E-2</v>
      </c>
      <c r="L247" s="11">
        <f t="shared" si="6"/>
        <v>2.5124042611241455E-3</v>
      </c>
      <c r="M247" s="11">
        <f t="shared" si="7"/>
        <v>2.5124042611241459E-3</v>
      </c>
    </row>
    <row r="248" spans="1:13">
      <c r="A248" s="1">
        <v>45649</v>
      </c>
      <c r="B248">
        <v>1.9170923382576532E-3</v>
      </c>
      <c r="C248">
        <v>-2.7177817109906854E-3</v>
      </c>
      <c r="D248">
        <v>-3.0921186548948931E-3</v>
      </c>
      <c r="E248">
        <v>2.6401456974769477E-3</v>
      </c>
      <c r="F248">
        <v>-2.3394674754426692E-3</v>
      </c>
      <c r="G248">
        <v>3.6896769803423934E-2</v>
      </c>
      <c r="H248">
        <v>-9.8173076697818384E-3</v>
      </c>
      <c r="I248">
        <v>-6.0247676697325891E-3</v>
      </c>
      <c r="J248">
        <v>2.2657123925894807E-2</v>
      </c>
      <c r="K248">
        <v>-1.0045052406059019E-2</v>
      </c>
      <c r="L248" s="11">
        <f t="shared" si="6"/>
        <v>3.0074636178151646E-3</v>
      </c>
      <c r="M248" s="11">
        <f t="shared" si="7"/>
        <v>3.0074636178151646E-3</v>
      </c>
    </row>
    <row r="249" spans="1:13">
      <c r="A249" s="1">
        <v>45650</v>
      </c>
      <c r="B249">
        <v>9.2858004041509457E-3</v>
      </c>
      <c r="C249">
        <v>7.3741699808911321E-3</v>
      </c>
      <c r="D249">
        <v>9.3738943015821974E-3</v>
      </c>
      <c r="E249">
        <v>2.2678131146330882E-2</v>
      </c>
      <c r="F249">
        <v>3.907752897274186E-4</v>
      </c>
      <c r="G249">
        <v>3.937965031442392E-3</v>
      </c>
      <c r="H249">
        <v>1.0046928527318588E-2</v>
      </c>
      <c r="I249">
        <v>2.824792274418586E-2</v>
      </c>
      <c r="J249">
        <v>7.3571742282245278E-2</v>
      </c>
      <c r="K249">
        <v>5.2483531890541446E-3</v>
      </c>
      <c r="L249" s="11">
        <f t="shared" si="6"/>
        <v>1.7015568289692883E-2</v>
      </c>
      <c r="M249" s="11">
        <f t="shared" si="7"/>
        <v>1.7015568289692883E-2</v>
      </c>
    </row>
    <row r="250" spans="1:13">
      <c r="A250" s="1">
        <v>45652</v>
      </c>
      <c r="B250">
        <v>5.799088692756138E-3</v>
      </c>
      <c r="C250">
        <v>-4.2966651928727506E-3</v>
      </c>
      <c r="D250">
        <v>-2.7769661867549367E-3</v>
      </c>
      <c r="E250">
        <v>-8.5611085595763692E-3</v>
      </c>
      <c r="F250">
        <v>1.9534147817399372E-3</v>
      </c>
      <c r="G250">
        <v>-2.0682468117316777E-3</v>
      </c>
      <c r="H250">
        <v>-2.4213139174683596E-3</v>
      </c>
      <c r="I250">
        <v>2.1688304881893883E-2</v>
      </c>
      <c r="J250">
        <v>-1.762999463097048E-2</v>
      </c>
      <c r="K250">
        <v>5.8221818133998848E-3</v>
      </c>
      <c r="L250" s="11">
        <f t="shared" si="6"/>
        <v>-2.4913051295847308E-4</v>
      </c>
      <c r="M250" s="11">
        <f t="shared" si="7"/>
        <v>-2.4913051295847308E-4</v>
      </c>
    </row>
    <row r="251" spans="1:13">
      <c r="A251" s="1">
        <v>45653</v>
      </c>
      <c r="B251">
        <v>1.8848892820015895E-3</v>
      </c>
      <c r="C251">
        <v>-1.9178281817452403E-3</v>
      </c>
      <c r="D251">
        <v>-1.7301580042689002E-2</v>
      </c>
      <c r="E251">
        <v>-1.7951854256392452E-2</v>
      </c>
      <c r="F251">
        <v>-6.7585619202432667E-3</v>
      </c>
      <c r="G251">
        <v>-2.0867661063854626E-2</v>
      </c>
      <c r="H251">
        <v>2.9519337590746542E-3</v>
      </c>
      <c r="I251">
        <v>4.2456151474787873E-3</v>
      </c>
      <c r="J251">
        <v>-4.9479226166747936E-2</v>
      </c>
      <c r="K251">
        <v>-4.9075908610217711E-3</v>
      </c>
      <c r="L251" s="11">
        <f t="shared" si="6"/>
        <v>-1.1010186430413928E-2</v>
      </c>
      <c r="M251" s="11">
        <f t="shared" si="7"/>
        <v>-1.1010186430413927E-2</v>
      </c>
    </row>
    <row r="252" spans="1:13">
      <c r="A252" s="1">
        <v>45656</v>
      </c>
      <c r="B252">
        <v>-2.3074358902053338E-2</v>
      </c>
      <c r="C252">
        <v>-6.7254205440668846E-3</v>
      </c>
      <c r="D252">
        <v>-1.323954842525521E-2</v>
      </c>
      <c r="E252">
        <v>-7.8452925050461753E-3</v>
      </c>
      <c r="F252">
        <v>-2.3161351096322447E-2</v>
      </c>
      <c r="G252">
        <v>3.5034831548672596E-3</v>
      </c>
      <c r="H252">
        <v>-7.6525400722594616E-3</v>
      </c>
      <c r="I252">
        <v>-1.810292202762509E-2</v>
      </c>
      <c r="J252">
        <v>-3.3012092570787521E-2</v>
      </c>
      <c r="K252">
        <v>-9.7057505258157928E-3</v>
      </c>
      <c r="L252" s="11">
        <f t="shared" si="6"/>
        <v>-1.3901579351436467E-2</v>
      </c>
      <c r="M252" s="11">
        <f t="shared" si="7"/>
        <v>-1.3901579351436466E-2</v>
      </c>
    </row>
    <row r="253" spans="1:13">
      <c r="A253" s="1">
        <v>45657</v>
      </c>
      <c r="B253">
        <v>2.5488356865737138E-3</v>
      </c>
      <c r="C253">
        <v>3.7078268851380436E-3</v>
      </c>
      <c r="D253">
        <v>-7.8383917866181596E-3</v>
      </c>
      <c r="E253">
        <v>-1.0117372172922856E-2</v>
      </c>
      <c r="F253">
        <v>1.3663658974860216E-2</v>
      </c>
      <c r="G253">
        <v>-2.3274381763307539E-2</v>
      </c>
      <c r="H253">
        <v>2.2410482952643918E-3</v>
      </c>
      <c r="I253">
        <v>7.3967257338136694E-3</v>
      </c>
      <c r="J253">
        <v>-3.2510019417751668E-2</v>
      </c>
      <c r="K253">
        <v>2.8173340479111797E-3</v>
      </c>
      <c r="L253" s="11">
        <f t="shared" si="6"/>
        <v>-4.1364735517039003E-3</v>
      </c>
      <c r="M253" s="11">
        <f t="shared" si="7"/>
        <v>-4.1364735517039012E-3</v>
      </c>
    </row>
    <row r="254" spans="1:13">
      <c r="A254" s="1">
        <v>45659</v>
      </c>
      <c r="B254">
        <v>-2.8983078433971854E-2</v>
      </c>
      <c r="C254">
        <v>-6.7458209645014922E-3</v>
      </c>
      <c r="D254">
        <v>-6.9276319892095373E-3</v>
      </c>
      <c r="E254">
        <v>-5.1496957520873465E-3</v>
      </c>
      <c r="F254">
        <v>-2.6430556874580402E-2</v>
      </c>
      <c r="G254">
        <v>2.993519223847696E-2</v>
      </c>
      <c r="H254">
        <v>-1.2166281831780035E-2</v>
      </c>
      <c r="I254">
        <v>1.0082202922862882E-2</v>
      </c>
      <c r="J254">
        <v>-6.0816159323765495E-2</v>
      </c>
      <c r="K254">
        <v>-1.2674084567519284E-2</v>
      </c>
      <c r="L254" s="11">
        <f t="shared" si="6"/>
        <v>-1.198759145760756E-2</v>
      </c>
      <c r="M254" s="11">
        <f t="shared" si="7"/>
        <v>-1.198759145760756E-2</v>
      </c>
    </row>
    <row r="255" spans="1:13">
      <c r="A255" s="1">
        <v>45660</v>
      </c>
      <c r="B255">
        <v>-1.1462159054346666E-2</v>
      </c>
      <c r="C255">
        <v>-1.455381890206775E-3</v>
      </c>
      <c r="D255">
        <v>1.1395690913117207E-2</v>
      </c>
      <c r="E255">
        <v>-6.4055493790561302E-3</v>
      </c>
      <c r="F255">
        <v>-4.8866195914692989E-3</v>
      </c>
      <c r="G255">
        <v>4.453767761715488E-2</v>
      </c>
      <c r="H255">
        <v>-3.7281461983663666E-3</v>
      </c>
      <c r="I255">
        <v>4.448320582140175E-3</v>
      </c>
      <c r="J255">
        <v>8.2155673282002128E-2</v>
      </c>
      <c r="K255">
        <v>-7.4355124122216232E-4</v>
      </c>
      <c r="L255" s="11">
        <f t="shared" si="6"/>
        <v>1.1385595503974701E-2</v>
      </c>
      <c r="M255" s="11">
        <f t="shared" si="7"/>
        <v>1.1385595503974699E-2</v>
      </c>
    </row>
    <row r="256" spans="1:13">
      <c r="A256" s="1">
        <v>45663</v>
      </c>
      <c r="B256">
        <v>5.1795462885546595E-3</v>
      </c>
      <c r="C256">
        <v>-1.5222650131125115E-2</v>
      </c>
      <c r="D256">
        <v>1.0629484203972472E-2</v>
      </c>
      <c r="E256">
        <v>8.3989585679322687E-4</v>
      </c>
      <c r="F256">
        <v>-1.7869343586543796E-2</v>
      </c>
      <c r="G256">
        <v>3.4332270845126578E-2</v>
      </c>
      <c r="H256">
        <v>-2.2586007193427848E-2</v>
      </c>
      <c r="I256">
        <v>5.9407064132233067E-3</v>
      </c>
      <c r="J256">
        <v>1.4861742226235375E-3</v>
      </c>
      <c r="K256">
        <v>-7.8631546893177529E-3</v>
      </c>
      <c r="L256" s="11">
        <f t="shared" si="6"/>
        <v>-5.1330777701207302E-4</v>
      </c>
      <c r="M256" s="11">
        <f t="shared" si="7"/>
        <v>-5.1330777701207313E-4</v>
      </c>
    </row>
    <row r="257" spans="1:13">
      <c r="A257" s="1">
        <v>45664</v>
      </c>
      <c r="B257">
        <v>1.0129966857387762E-2</v>
      </c>
      <c r="C257">
        <v>4.9330195107333275E-4</v>
      </c>
      <c r="D257">
        <v>-1.2808233998711227E-2</v>
      </c>
      <c r="E257">
        <v>-2.9485202267248711E-3</v>
      </c>
      <c r="F257">
        <v>1.2499368813494449E-3</v>
      </c>
      <c r="G257">
        <v>-6.2169565467389498E-2</v>
      </c>
      <c r="H257">
        <v>-5.9479863995562932E-3</v>
      </c>
      <c r="I257">
        <v>-3.1138934675345453E-3</v>
      </c>
      <c r="J257">
        <v>-4.0603340073111061E-2</v>
      </c>
      <c r="K257">
        <v>7.7950344508337377E-3</v>
      </c>
      <c r="L257" s="11">
        <f t="shared" si="6"/>
        <v>-1.0792329949238323E-2</v>
      </c>
      <c r="M257" s="11">
        <f t="shared" si="7"/>
        <v>-1.0792329949238321E-2</v>
      </c>
    </row>
    <row r="258" spans="1:13">
      <c r="A258" s="1">
        <v>45665</v>
      </c>
      <c r="B258">
        <v>-4.347574192116066E-3</v>
      </c>
      <c r="C258">
        <v>1.4299848023919592E-2</v>
      </c>
      <c r="D258">
        <v>5.1850218024487305E-3</v>
      </c>
      <c r="E258">
        <v>-4.7657530565302642E-3</v>
      </c>
      <c r="F258">
        <v>-1.1097155791689017E-2</v>
      </c>
      <c r="G258">
        <v>-2.1398860382870755E-4</v>
      </c>
      <c r="H258">
        <v>7.8404933282589795E-3</v>
      </c>
      <c r="I258">
        <v>-2.5851136758578974E-3</v>
      </c>
      <c r="J258">
        <v>1.4707807875764534E-3</v>
      </c>
      <c r="K258">
        <v>1.6666542500753945E-2</v>
      </c>
      <c r="L258" s="11">
        <f t="shared" si="6"/>
        <v>2.245310112293575E-3</v>
      </c>
      <c r="M258" s="11">
        <f t="shared" si="7"/>
        <v>2.245310112293575E-3</v>
      </c>
    </row>
    <row r="259" spans="1:13">
      <c r="A259" s="1">
        <v>45667</v>
      </c>
      <c r="B259">
        <v>1.3973305824450666E-3</v>
      </c>
      <c r="C259">
        <v>-1.0371128716314182E-2</v>
      </c>
      <c r="D259">
        <v>-1.32136491878736E-2</v>
      </c>
      <c r="E259">
        <v>-4.2639997209821701E-2</v>
      </c>
      <c r="F259">
        <v>-1.2624936523425445E-3</v>
      </c>
      <c r="G259">
        <v>-2.997636254138436E-2</v>
      </c>
      <c r="H259">
        <v>-2.6613927545839022E-2</v>
      </c>
      <c r="I259">
        <v>-3.7796485263893453E-3</v>
      </c>
      <c r="J259">
        <v>-5.0643694180030341E-4</v>
      </c>
      <c r="K259">
        <v>-3.9152082665686594E-3</v>
      </c>
      <c r="L259" s="11">
        <f t="shared" si="6"/>
        <v>-1.3088152200588865E-2</v>
      </c>
      <c r="M259" s="11">
        <f t="shared" si="7"/>
        <v>-1.3088152200588865E-2</v>
      </c>
    </row>
    <row r="260" spans="1:13">
      <c r="A260" s="1">
        <v>45670</v>
      </c>
      <c r="B260">
        <v>-8.3139109057092098E-3</v>
      </c>
      <c r="C260">
        <v>9.4973493101819795E-3</v>
      </c>
      <c r="D260">
        <v>-4.2009930696901288E-3</v>
      </c>
      <c r="E260">
        <v>3.1037443187329483E-3</v>
      </c>
      <c r="F260">
        <v>1.2359673591694875E-2</v>
      </c>
      <c r="G260">
        <v>-1.9719027246005494E-2</v>
      </c>
      <c r="H260">
        <v>1.3039902967184824E-2</v>
      </c>
      <c r="I260">
        <v>1.3658542712515542E-2</v>
      </c>
      <c r="J260">
        <v>2.1710512074364807E-2</v>
      </c>
      <c r="K260">
        <v>-5.3049135998375352E-3</v>
      </c>
      <c r="L260" s="11">
        <f t="shared" ref="L260:L323" si="8">SUMPRODUCT(B260:K260,$P$2:$Y$2)</f>
        <v>3.5830880153432617E-3</v>
      </c>
      <c r="M260" s="11">
        <f t="shared" ref="M260:M323" si="9">SUM(B260:K260)/10</f>
        <v>3.5830880153432608E-3</v>
      </c>
    </row>
    <row r="261" spans="1:13">
      <c r="A261" s="1">
        <v>45671</v>
      </c>
      <c r="B261">
        <v>-2.0812586617354079E-2</v>
      </c>
      <c r="C261">
        <v>6.3259866219551597E-3</v>
      </c>
      <c r="D261">
        <v>-3.6433796869980162E-3</v>
      </c>
      <c r="E261">
        <v>-1.4149821995013689E-2</v>
      </c>
      <c r="F261">
        <v>-1.2625031644770468E-2</v>
      </c>
      <c r="G261">
        <v>-1.1033623094382827E-2</v>
      </c>
      <c r="H261">
        <v>3.1141368025260352E-3</v>
      </c>
      <c r="I261">
        <v>-4.7054310140939304E-3</v>
      </c>
      <c r="J261">
        <v>-1.723243224592097E-2</v>
      </c>
      <c r="K261">
        <v>6.3612306912534944E-3</v>
      </c>
      <c r="L261" s="11">
        <f t="shared" si="8"/>
        <v>-6.8400952182799289E-3</v>
      </c>
      <c r="M261" s="11">
        <f t="shared" si="9"/>
        <v>-6.8400952182799289E-3</v>
      </c>
    </row>
    <row r="262" spans="1:13">
      <c r="A262" s="1">
        <v>45672</v>
      </c>
      <c r="B262">
        <v>-4.9096353924188429E-3</v>
      </c>
      <c r="C262">
        <v>-4.3520704944979283E-3</v>
      </c>
      <c r="D262">
        <v>2.5597138196983948E-2</v>
      </c>
      <c r="E262">
        <v>2.3973907250437687E-2</v>
      </c>
      <c r="F262">
        <v>-1.4049673633041992E-3</v>
      </c>
      <c r="G262">
        <v>3.4001345204902389E-2</v>
      </c>
      <c r="H262">
        <v>-1.1727517051787206E-3</v>
      </c>
      <c r="I262">
        <v>1.0748492658807507E-4</v>
      </c>
      <c r="J262">
        <v>8.0381514397529052E-2</v>
      </c>
      <c r="K262">
        <v>3.5118962054370151E-4</v>
      </c>
      <c r="L262" s="11">
        <f t="shared" si="8"/>
        <v>1.5257315464158519E-2</v>
      </c>
      <c r="M262" s="11">
        <f t="shared" si="9"/>
        <v>1.5257315464158516E-2</v>
      </c>
    </row>
    <row r="263" spans="1:13">
      <c r="A263" s="1">
        <v>45673</v>
      </c>
      <c r="B263">
        <v>1.6425967374651629E-2</v>
      </c>
      <c r="C263">
        <v>7.7708543121615126E-3</v>
      </c>
      <c r="D263">
        <v>-4.0581139859199311E-3</v>
      </c>
      <c r="E263">
        <v>-6.9436429639838648E-3</v>
      </c>
      <c r="F263">
        <v>5.6282107383776037E-4</v>
      </c>
      <c r="G263">
        <v>-1.9597781338440923E-2</v>
      </c>
      <c r="H263">
        <v>1.2156310998021613E-2</v>
      </c>
      <c r="I263">
        <v>1.4503677166248341E-2</v>
      </c>
      <c r="J263">
        <v>-3.3627560262098344E-2</v>
      </c>
      <c r="K263">
        <v>2.7987842369256999E-2</v>
      </c>
      <c r="L263" s="11">
        <f t="shared" si="8"/>
        <v>1.5180374743734796E-3</v>
      </c>
      <c r="M263" s="11">
        <f t="shared" si="9"/>
        <v>1.5180374743734792E-3</v>
      </c>
    </row>
    <row r="264" spans="1:13">
      <c r="A264" s="1">
        <v>45674</v>
      </c>
      <c r="B264">
        <v>1.2786383447340732E-2</v>
      </c>
      <c r="C264">
        <v>7.3895075669760946E-3</v>
      </c>
      <c r="D264">
        <v>1.04810095017418E-2</v>
      </c>
      <c r="E264">
        <v>1.8673481439188455E-2</v>
      </c>
      <c r="F264">
        <v>-3.7969595449423021E-3</v>
      </c>
      <c r="G264">
        <v>3.099495431507937E-2</v>
      </c>
      <c r="H264">
        <v>1.166919423628876E-2</v>
      </c>
      <c r="I264">
        <v>7.4128834649924702E-3</v>
      </c>
      <c r="J264">
        <v>3.0641323404761112E-2</v>
      </c>
      <c r="K264">
        <v>-4.5635755151524071E-3</v>
      </c>
      <c r="L264" s="11">
        <f t="shared" si="8"/>
        <v>1.2168820231627409E-2</v>
      </c>
      <c r="M264" s="11">
        <f t="shared" si="9"/>
        <v>1.2168820231627409E-2</v>
      </c>
    </row>
    <row r="265" spans="1:13">
      <c r="A265" s="1">
        <v>45678</v>
      </c>
      <c r="B265">
        <v>2.6126607729157314E-2</v>
      </c>
      <c r="C265">
        <v>-4.6245175401246064E-3</v>
      </c>
      <c r="D265">
        <v>-1.2353073401807357E-3</v>
      </c>
      <c r="E265">
        <v>1.3494950960623031E-2</v>
      </c>
      <c r="F265">
        <v>3.2891043555728583E-2</v>
      </c>
      <c r="G265">
        <v>2.2656271298536312E-2</v>
      </c>
      <c r="H265">
        <v>2.023506307292644E-3</v>
      </c>
      <c r="I265">
        <v>2.9959053583572315E-2</v>
      </c>
      <c r="J265">
        <v>-5.6975209279764849E-3</v>
      </c>
      <c r="K265">
        <v>5.7383512102195944E-3</v>
      </c>
      <c r="L265" s="11">
        <f t="shared" si="8"/>
        <v>1.2133243883684797E-2</v>
      </c>
      <c r="M265" s="11">
        <f t="shared" si="9"/>
        <v>1.2133243883684797E-2</v>
      </c>
    </row>
    <row r="266" spans="1:13">
      <c r="A266" s="1">
        <v>45679</v>
      </c>
      <c r="B266">
        <v>-4.3289730998222753E-3</v>
      </c>
      <c r="C266">
        <v>-1.0253100616319344E-2</v>
      </c>
      <c r="D266">
        <v>4.1306864392528286E-2</v>
      </c>
      <c r="E266">
        <v>9.6943701440335373E-2</v>
      </c>
      <c r="F266">
        <v>1.189018620257376E-2</v>
      </c>
      <c r="G266">
        <v>4.4308890007471957E-2</v>
      </c>
      <c r="H266">
        <v>-3.0964928868292274E-3</v>
      </c>
      <c r="I266">
        <v>-2.5515189946365702E-3</v>
      </c>
      <c r="J266">
        <v>-2.1128638710366854E-2</v>
      </c>
      <c r="K266">
        <v>-5.643554631360459E-3</v>
      </c>
      <c r="L266" s="11">
        <f t="shared" si="8"/>
        <v>1.4744736310357465E-2</v>
      </c>
      <c r="M266" s="11">
        <f t="shared" si="9"/>
        <v>1.4744736310357465E-2</v>
      </c>
    </row>
    <row r="267" spans="1:13">
      <c r="A267" s="1">
        <v>45680</v>
      </c>
      <c r="B267">
        <v>2.116703022680988E-2</v>
      </c>
      <c r="C267">
        <v>-4.0466400052123763E-3</v>
      </c>
      <c r="D267">
        <v>1.1429388254817763E-3</v>
      </c>
      <c r="E267">
        <v>3.2358824970063926E-2</v>
      </c>
      <c r="F267">
        <v>3.3765792920648074E-3</v>
      </c>
      <c r="G267">
        <v>1.0198379653032497E-3</v>
      </c>
      <c r="H267">
        <v>3.5788005537800149E-3</v>
      </c>
      <c r="I267">
        <v>2.6602475889327959E-3</v>
      </c>
      <c r="J267">
        <v>-6.5765232470569313E-3</v>
      </c>
      <c r="K267">
        <v>-5.2078123694350165E-3</v>
      </c>
      <c r="L267" s="11">
        <f t="shared" si="8"/>
        <v>4.9473283800732125E-3</v>
      </c>
      <c r="M267" s="11">
        <f t="shared" si="9"/>
        <v>4.9473283800732125E-3</v>
      </c>
    </row>
    <row r="268" spans="1:13">
      <c r="A268" s="1">
        <v>45681</v>
      </c>
      <c r="B268">
        <v>-1.3669481464464894E-2</v>
      </c>
      <c r="C268">
        <v>6.3383875344897866E-3</v>
      </c>
      <c r="D268">
        <v>-5.9322175124481014E-3</v>
      </c>
      <c r="E268">
        <v>-7.3817178118968929E-3</v>
      </c>
      <c r="F268">
        <v>-9.6917774343890928E-3</v>
      </c>
      <c r="G268">
        <v>-3.1245863202497337E-2</v>
      </c>
      <c r="H268">
        <v>3.3643590717427063E-3</v>
      </c>
      <c r="I268">
        <v>8.3682364599129144E-3</v>
      </c>
      <c r="J268">
        <v>-1.4064741844588724E-2</v>
      </c>
      <c r="K268">
        <v>1.0564253366192045E-2</v>
      </c>
      <c r="L268" s="11">
        <f t="shared" si="8"/>
        <v>-5.3350562837947589E-3</v>
      </c>
      <c r="M268" s="11">
        <f t="shared" si="9"/>
        <v>-5.3350562837947589E-3</v>
      </c>
    </row>
    <row r="269" spans="1:13">
      <c r="A269" s="1">
        <v>45684</v>
      </c>
      <c r="B269">
        <v>-5.1118590762474492E-3</v>
      </c>
      <c r="C269">
        <v>3.1492264596175046E-2</v>
      </c>
      <c r="D269">
        <v>-2.139352196505484E-2</v>
      </c>
      <c r="E269">
        <v>-5.8306775339819206E-3</v>
      </c>
      <c r="F269">
        <v>2.7320865544224748E-2</v>
      </c>
      <c r="G269">
        <v>-0.16968160779263697</v>
      </c>
      <c r="H269">
        <v>3.6816023307174817E-2</v>
      </c>
      <c r="I269">
        <v>1.2245703355931337E-2</v>
      </c>
      <c r="J269">
        <v>-2.3193450212052991E-2</v>
      </c>
      <c r="K269">
        <v>2.1931268207703747E-2</v>
      </c>
      <c r="L269" s="11">
        <f t="shared" si="8"/>
        <v>-9.5404991568764468E-3</v>
      </c>
      <c r="M269" s="11">
        <f t="shared" si="9"/>
        <v>-9.5404991568764468E-3</v>
      </c>
    </row>
    <row r="270" spans="1:13">
      <c r="A270" s="1">
        <v>45685</v>
      </c>
      <c r="B270">
        <v>1.4957724722597376E-2</v>
      </c>
      <c r="C270">
        <v>-2.364173186836771E-2</v>
      </c>
      <c r="D270">
        <v>2.9086948475955943E-2</v>
      </c>
      <c r="E270">
        <v>-6.173286862687366E-5</v>
      </c>
      <c r="F270">
        <v>-1.5744938652687668E-2</v>
      </c>
      <c r="G270">
        <v>8.9258672620297075E-2</v>
      </c>
      <c r="H270">
        <v>-2.8200015078446272E-2</v>
      </c>
      <c r="I270">
        <v>3.8993195807819347E-3</v>
      </c>
      <c r="J270">
        <v>2.3668700890149275E-3</v>
      </c>
      <c r="K270">
        <v>-1.0229378150182877E-2</v>
      </c>
      <c r="L270" s="11">
        <f t="shared" si="8"/>
        <v>6.1691738870335855E-3</v>
      </c>
      <c r="M270" s="11">
        <f t="shared" si="9"/>
        <v>6.1691738870335855E-3</v>
      </c>
    </row>
    <row r="271" spans="1:13">
      <c r="A271" s="1">
        <v>45686</v>
      </c>
      <c r="B271">
        <v>-2.3174683009767216E-2</v>
      </c>
      <c r="C271">
        <v>7.5369026905935943E-3</v>
      </c>
      <c r="D271">
        <v>-1.0890051581317617E-2</v>
      </c>
      <c r="E271">
        <v>6.50320242540392E-3</v>
      </c>
      <c r="F271">
        <v>2.9439475670463455E-2</v>
      </c>
      <c r="G271">
        <v>-4.1011047517637067E-2</v>
      </c>
      <c r="H271">
        <v>7.9858702920754254E-4</v>
      </c>
      <c r="I271">
        <v>8.1366397125545165E-2</v>
      </c>
      <c r="J271">
        <v>-2.2582808704252111E-2</v>
      </c>
      <c r="K271">
        <v>-4.6923215008349839E-3</v>
      </c>
      <c r="L271" s="11">
        <f t="shared" si="8"/>
        <v>2.3293652627404669E-3</v>
      </c>
      <c r="M271" s="11">
        <f t="shared" si="9"/>
        <v>2.3293652627404682E-3</v>
      </c>
    </row>
    <row r="272" spans="1:13">
      <c r="A272" s="1">
        <v>45687</v>
      </c>
      <c r="B272">
        <v>3.3801652616616717E-2</v>
      </c>
      <c r="C272">
        <v>1.9417500845579694E-2</v>
      </c>
      <c r="D272">
        <v>-6.1809060156633233E-2</v>
      </c>
      <c r="E272">
        <v>-5.0197148260854307E-3</v>
      </c>
      <c r="F272">
        <v>2.285199649430969E-2</v>
      </c>
      <c r="G272">
        <v>7.6798522286369852E-3</v>
      </c>
      <c r="H272">
        <v>1.0174946611876567E-2</v>
      </c>
      <c r="I272">
        <v>3.8680935286086182E-3</v>
      </c>
      <c r="J272">
        <v>2.8732954254456544E-2</v>
      </c>
      <c r="K272">
        <v>1.6300049227002011E-2</v>
      </c>
      <c r="L272" s="11">
        <f t="shared" si="8"/>
        <v>7.599827082436816E-3</v>
      </c>
      <c r="M272" s="11">
        <f t="shared" si="9"/>
        <v>7.599827082436816E-3</v>
      </c>
    </row>
    <row r="273" spans="1:13">
      <c r="A273" s="1">
        <v>45688</v>
      </c>
      <c r="B273">
        <v>-1.6765969627930088E-2</v>
      </c>
      <c r="C273">
        <v>-8.8993374425416771E-3</v>
      </c>
      <c r="D273">
        <v>1.6868060979935429E-4</v>
      </c>
      <c r="E273">
        <v>3.6168052757494795E-3</v>
      </c>
      <c r="F273">
        <v>-1.8256201140550155E-2</v>
      </c>
      <c r="G273">
        <v>-3.6742828664982574E-2</v>
      </c>
      <c r="H273">
        <v>-7.9657192327271531E-3</v>
      </c>
      <c r="I273">
        <v>-1.2110083420799223E-2</v>
      </c>
      <c r="J273">
        <v>1.0792463618950254E-2</v>
      </c>
      <c r="K273">
        <v>-7.8830703642462918E-4</v>
      </c>
      <c r="L273" s="11">
        <f t="shared" si="8"/>
        <v>-8.6950497061456418E-3</v>
      </c>
      <c r="M273" s="11">
        <f t="shared" si="9"/>
        <v>-8.6950497061456418E-3</v>
      </c>
    </row>
    <row r="274" spans="1:13">
      <c r="A274" s="1">
        <v>45691</v>
      </c>
      <c r="B274">
        <v>-3.6823540649235653E-3</v>
      </c>
      <c r="C274">
        <v>-2.0479347567772255E-3</v>
      </c>
      <c r="D274">
        <v>-9.9743914424776925E-3</v>
      </c>
      <c r="E274">
        <v>2.231861106090971E-3</v>
      </c>
      <c r="F274">
        <v>-4.0312287985589945E-3</v>
      </c>
      <c r="G274">
        <v>-2.8400075626255461E-2</v>
      </c>
      <c r="H274">
        <v>-2.7870998391502644E-3</v>
      </c>
      <c r="I274">
        <v>4.4576883322762217E-3</v>
      </c>
      <c r="J274">
        <v>-5.1705420445252503E-2</v>
      </c>
      <c r="K274">
        <v>3.3376975419063815E-3</v>
      </c>
      <c r="L274" s="11">
        <f t="shared" si="8"/>
        <v>-9.2601257993122129E-3</v>
      </c>
      <c r="M274" s="11">
        <f t="shared" si="9"/>
        <v>-9.2601257993122129E-3</v>
      </c>
    </row>
    <row r="275" spans="1:13">
      <c r="A275" s="1">
        <v>45692</v>
      </c>
      <c r="B275">
        <v>2.0469700366576582E-3</v>
      </c>
      <c r="C275">
        <v>-1.0734026901321192E-2</v>
      </c>
      <c r="D275">
        <v>3.5286205487510269E-3</v>
      </c>
      <c r="E275">
        <v>1.6272695605504595E-2</v>
      </c>
      <c r="F275">
        <v>1.6973869996010915E-3</v>
      </c>
      <c r="G275">
        <v>1.7058105260512102E-2</v>
      </c>
      <c r="H275">
        <v>-4.5118818273458206E-2</v>
      </c>
      <c r="I275">
        <v>2.2559126960034481E-2</v>
      </c>
      <c r="J275">
        <v>2.2232065633156495E-2</v>
      </c>
      <c r="K275">
        <v>-3.1330396410344963E-2</v>
      </c>
      <c r="L275" s="11">
        <f t="shared" si="8"/>
        <v>-1.7882705409069145E-4</v>
      </c>
      <c r="M275" s="11">
        <f t="shared" si="9"/>
        <v>-1.788270540906911E-4</v>
      </c>
    </row>
    <row r="276" spans="1:13">
      <c r="A276" s="1">
        <v>45693</v>
      </c>
      <c r="B276">
        <v>3.1833403769834678E-2</v>
      </c>
      <c r="C276">
        <v>7.1804728487794289E-3</v>
      </c>
      <c r="D276">
        <v>2.2309986607027543E-3</v>
      </c>
      <c r="E276">
        <v>1.632373105438778E-2</v>
      </c>
      <c r="F276">
        <v>-2.8024020560306506E-2</v>
      </c>
      <c r="G276">
        <v>5.2085952040051176E-2</v>
      </c>
      <c r="H276">
        <v>1.5122918451243583E-2</v>
      </c>
      <c r="I276">
        <v>1.4918580493896938E-2</v>
      </c>
      <c r="J276">
        <v>-3.5797094243459893E-2</v>
      </c>
      <c r="K276">
        <v>1.0614573962424156E-3</v>
      </c>
      <c r="L276" s="11">
        <f t="shared" si="8"/>
        <v>7.693639991137236E-3</v>
      </c>
      <c r="M276" s="11">
        <f t="shared" si="9"/>
        <v>7.6936399911372352E-3</v>
      </c>
    </row>
    <row r="277" spans="1:13">
      <c r="A277" s="1">
        <v>45694</v>
      </c>
      <c r="B277">
        <v>1.6278083884069039E-2</v>
      </c>
      <c r="C277">
        <v>3.8022955900531841E-3</v>
      </c>
      <c r="D277">
        <v>6.1216446533003399E-3</v>
      </c>
      <c r="E277">
        <v>4.5197924957995905E-3</v>
      </c>
      <c r="F277">
        <v>-3.7950888644068259E-2</v>
      </c>
      <c r="G277">
        <v>3.0841776709044977E-2</v>
      </c>
      <c r="H277">
        <v>-2.1281860555364407E-3</v>
      </c>
      <c r="I277">
        <v>-4.899762660976581E-3</v>
      </c>
      <c r="J277">
        <v>-1.0180622383619164E-2</v>
      </c>
      <c r="K277">
        <v>1.9522953069808224E-2</v>
      </c>
      <c r="L277" s="11">
        <f t="shared" si="8"/>
        <v>2.5927086657874911E-3</v>
      </c>
      <c r="M277" s="11">
        <f t="shared" si="9"/>
        <v>2.5927086657874911E-3</v>
      </c>
    </row>
    <row r="278" spans="1:13">
      <c r="A278" s="1">
        <v>45695</v>
      </c>
      <c r="B278">
        <v>-1.7911241904395192E-2</v>
      </c>
      <c r="C278">
        <v>7.5757858031559877E-3</v>
      </c>
      <c r="D278">
        <v>-1.4597663592885057E-2</v>
      </c>
      <c r="E278">
        <v>-1.7229836293118916E-3</v>
      </c>
      <c r="F278">
        <v>-4.2654025376404392E-2</v>
      </c>
      <c r="G278">
        <v>9.0146718201618015E-3</v>
      </c>
      <c r="H278">
        <v>-5.297496331516216E-3</v>
      </c>
      <c r="I278">
        <v>4.4762371668516376E-3</v>
      </c>
      <c r="J278">
        <v>-3.3928221731495345E-2</v>
      </c>
      <c r="K278">
        <v>-3.4259784351823308E-3</v>
      </c>
      <c r="L278" s="11">
        <f t="shared" si="8"/>
        <v>-9.8470916211021008E-3</v>
      </c>
      <c r="M278" s="11">
        <f t="shared" si="9"/>
        <v>-9.8470916211020991E-3</v>
      </c>
    </row>
    <row r="279" spans="1:13">
      <c r="A279" s="1">
        <v>45698</v>
      </c>
      <c r="B279">
        <v>-5.1793620197031487E-3</v>
      </c>
      <c r="C279">
        <v>1.1121526811389115E-2</v>
      </c>
      <c r="D279">
        <v>6.027992716405306E-3</v>
      </c>
      <c r="E279">
        <v>1.3482176293132975E-2</v>
      </c>
      <c r="F279">
        <v>3.2906205093035101E-2</v>
      </c>
      <c r="G279">
        <v>2.8727805712864374E-2</v>
      </c>
      <c r="H279">
        <v>-1.5908130465851489E-3</v>
      </c>
      <c r="I279">
        <v>-6.6845034840448125E-3</v>
      </c>
      <c r="J279">
        <v>-3.0114441341469345E-2</v>
      </c>
      <c r="K279">
        <v>-1.8724931556243218E-3</v>
      </c>
      <c r="L279" s="11">
        <f t="shared" si="8"/>
        <v>4.6824093579400077E-3</v>
      </c>
      <c r="M279" s="11">
        <f t="shared" si="9"/>
        <v>4.6824093579400095E-3</v>
      </c>
    </row>
    <row r="280" spans="1:13">
      <c r="A280" s="1">
        <v>45699</v>
      </c>
      <c r="B280">
        <v>-6.0925288558133506E-4</v>
      </c>
      <c r="C280">
        <v>4.7250197270781946E-2</v>
      </c>
      <c r="D280">
        <v>-1.892182390598407E-3</v>
      </c>
      <c r="E280">
        <v>-1.8995678240416369E-2</v>
      </c>
      <c r="F280">
        <v>5.6385248565700152E-3</v>
      </c>
      <c r="G280">
        <v>-5.764701594367927E-3</v>
      </c>
      <c r="H280">
        <v>8.9365042452465016E-3</v>
      </c>
      <c r="I280">
        <v>-3.7684848618424471E-3</v>
      </c>
      <c r="J280">
        <v>-6.3382118125028586E-2</v>
      </c>
      <c r="K280">
        <v>-1.8297453087107951E-2</v>
      </c>
      <c r="L280" s="11">
        <f t="shared" si="8"/>
        <v>-5.0884644812344568E-3</v>
      </c>
      <c r="M280" s="11">
        <f t="shared" si="9"/>
        <v>-5.0884644812344559E-3</v>
      </c>
    </row>
    <row r="281" spans="1:13">
      <c r="A281" s="1">
        <v>45700</v>
      </c>
      <c r="B281">
        <v>3.219905497662956E-2</v>
      </c>
      <c r="C281">
        <v>1.6420057789205522E-2</v>
      </c>
      <c r="D281">
        <v>-5.8331713876603741E-3</v>
      </c>
      <c r="E281">
        <v>1.9075907842537987E-2</v>
      </c>
      <c r="F281">
        <v>1.2896109754346075E-2</v>
      </c>
      <c r="G281">
        <v>-1.2500090498761884E-2</v>
      </c>
      <c r="H281">
        <v>-1.1329159297560065E-2</v>
      </c>
      <c r="I281">
        <v>1.8103232416435411E-2</v>
      </c>
      <c r="J281">
        <v>2.4383591371765601E-2</v>
      </c>
      <c r="K281">
        <v>-8.4582740371286214E-4</v>
      </c>
      <c r="L281" s="11">
        <f t="shared" si="8"/>
        <v>9.2569705563224965E-3</v>
      </c>
      <c r="M281" s="11">
        <f t="shared" si="9"/>
        <v>9.2569705563224965E-3</v>
      </c>
    </row>
    <row r="282" spans="1:13">
      <c r="A282" s="1">
        <v>45701</v>
      </c>
      <c r="B282">
        <v>-4.3489801803705541E-3</v>
      </c>
      <c r="C282">
        <v>1.1497747685585979E-2</v>
      </c>
      <c r="D282">
        <v>3.6671417983451526E-3</v>
      </c>
      <c r="E282">
        <v>1.594443924254163E-2</v>
      </c>
      <c r="F282">
        <v>1.3146921572784853E-2</v>
      </c>
      <c r="G282">
        <v>3.1645510696844292E-2</v>
      </c>
      <c r="H282">
        <v>4.0974645566744794E-3</v>
      </c>
      <c r="I282">
        <v>-3.5384852986963811E-4</v>
      </c>
      <c r="J282">
        <v>5.7739716834318777E-2</v>
      </c>
      <c r="K282">
        <v>1.0408817831976114E-2</v>
      </c>
      <c r="L282" s="11">
        <f t="shared" si="8"/>
        <v>1.4344493150883111E-2</v>
      </c>
      <c r="M282" s="11">
        <f t="shared" si="9"/>
        <v>1.4344493150883108E-2</v>
      </c>
    </row>
    <row r="283" spans="1:13">
      <c r="A283" s="1">
        <v>45702</v>
      </c>
      <c r="B283">
        <v>-5.5004543735556188E-3</v>
      </c>
      <c r="C283">
        <v>-9.064885549318169E-3</v>
      </c>
      <c r="D283">
        <v>-5.1395965033180779E-3</v>
      </c>
      <c r="E283">
        <v>1.4285884713606034E-2</v>
      </c>
      <c r="F283">
        <v>-2.3221221142692983E-3</v>
      </c>
      <c r="G283">
        <v>2.6313901490972347E-2</v>
      </c>
      <c r="H283">
        <v>-8.2308079315246419E-3</v>
      </c>
      <c r="I283">
        <v>1.423619936336884E-3</v>
      </c>
      <c r="J283">
        <v>-2.8096337256300341E-4</v>
      </c>
      <c r="K283">
        <v>-5.8335202410311204E-3</v>
      </c>
      <c r="L283" s="11">
        <f t="shared" si="8"/>
        <v>5.6510560553353357E-4</v>
      </c>
      <c r="M283" s="11">
        <f t="shared" si="9"/>
        <v>5.6510560553353346E-4</v>
      </c>
    </row>
    <row r="284" spans="1:13">
      <c r="A284" s="1">
        <v>45706</v>
      </c>
      <c r="B284">
        <v>2.9823395359442895E-3</v>
      </c>
      <c r="C284">
        <v>2.6137561618149174E-3</v>
      </c>
      <c r="D284">
        <v>2.9626071543005228E-3</v>
      </c>
      <c r="E284">
        <v>-2.149064852132454E-2</v>
      </c>
      <c r="F284">
        <v>6.2294634640414515E-2</v>
      </c>
      <c r="G284">
        <v>3.9611110103627833E-3</v>
      </c>
      <c r="H284">
        <v>4.9515116100342649E-3</v>
      </c>
      <c r="I284">
        <v>4.2647883712700896E-3</v>
      </c>
      <c r="J284">
        <v>-4.8617665358934303E-3</v>
      </c>
      <c r="K284">
        <v>5.8365195892449151E-3</v>
      </c>
      <c r="L284" s="11">
        <f t="shared" si="8"/>
        <v>6.3514853016168344E-3</v>
      </c>
      <c r="M284" s="11">
        <f t="shared" si="9"/>
        <v>6.3514853016168327E-3</v>
      </c>
    </row>
    <row r="285" spans="1:13">
      <c r="A285" s="1">
        <v>45707</v>
      </c>
      <c r="B285">
        <v>6.3793732388695013E-3</v>
      </c>
      <c r="C285">
        <v>1.4771775971561318E-2</v>
      </c>
      <c r="D285">
        <v>1.2523114159080251E-2</v>
      </c>
      <c r="E285">
        <v>7.221104064339956E-3</v>
      </c>
      <c r="F285">
        <v>-1.0439459916924076E-2</v>
      </c>
      <c r="G285">
        <v>-1.2195864266362211E-3</v>
      </c>
      <c r="H285">
        <v>1.1866676948143695E-2</v>
      </c>
      <c r="I285">
        <v>-4.7775543245014429E-3</v>
      </c>
      <c r="J285">
        <v>1.82147142804443E-2</v>
      </c>
      <c r="K285">
        <v>1.0426011349675246E-2</v>
      </c>
      <c r="L285" s="11">
        <f t="shared" si="8"/>
        <v>6.4966169344052539E-3</v>
      </c>
      <c r="M285" s="11">
        <f t="shared" si="9"/>
        <v>6.496616934405253E-3</v>
      </c>
    </row>
    <row r="286" spans="1:13">
      <c r="A286" s="1">
        <v>45708</v>
      </c>
      <c r="B286">
        <v>-2.8310444192668593E-2</v>
      </c>
      <c r="C286">
        <v>-4.2805514278176915E-4</v>
      </c>
      <c r="D286">
        <v>5.2907391605472309E-3</v>
      </c>
      <c r="E286">
        <v>-1.8009563401432005E-2</v>
      </c>
      <c r="F286">
        <v>5.8610072962239634E-3</v>
      </c>
      <c r="G286">
        <v>6.3205461649826766E-3</v>
      </c>
      <c r="H286">
        <v>2.2563807655083812E-2</v>
      </c>
      <c r="I286">
        <v>7.5562707662912842E-3</v>
      </c>
      <c r="J286">
        <v>-1.7084545439924992E-2</v>
      </c>
      <c r="K286">
        <v>-2.7638857167872066E-3</v>
      </c>
      <c r="L286" s="11">
        <f t="shared" si="8"/>
        <v>-1.9004122850465603E-3</v>
      </c>
      <c r="M286" s="11">
        <f t="shared" si="9"/>
        <v>-1.9004122850465599E-3</v>
      </c>
    </row>
    <row r="287" spans="1:13">
      <c r="A287" s="1">
        <v>45709</v>
      </c>
      <c r="B287">
        <v>-2.062146663886133E-2</v>
      </c>
      <c r="C287">
        <v>1.8703466366484678E-2</v>
      </c>
      <c r="D287">
        <v>-1.903258752394521E-2</v>
      </c>
      <c r="E287">
        <v>-2.0877675671917006E-2</v>
      </c>
      <c r="F287">
        <v>-9.4523620860460511E-3</v>
      </c>
      <c r="G287">
        <v>-4.0539641186838282E-2</v>
      </c>
      <c r="H287">
        <v>2.9510186043586017E-2</v>
      </c>
      <c r="I287">
        <v>-1.4028613360357101E-2</v>
      </c>
      <c r="J287">
        <v>-4.6839747148428645E-2</v>
      </c>
      <c r="K287">
        <v>3.7571168436032476E-3</v>
      </c>
      <c r="L287" s="11">
        <f t="shared" si="8"/>
        <v>-1.1942132436271969E-2</v>
      </c>
      <c r="M287" s="11">
        <f t="shared" si="9"/>
        <v>-1.1942132436271968E-2</v>
      </c>
    </row>
    <row r="288" spans="1:13">
      <c r="A288" s="1">
        <v>45712</v>
      </c>
      <c r="B288">
        <v>1.5580072597901395E-2</v>
      </c>
      <c r="C288">
        <v>-1.0651730283744332E-2</v>
      </c>
      <c r="D288">
        <v>-1.0313283396671036E-2</v>
      </c>
      <c r="E288">
        <v>-1.4633956391028935E-2</v>
      </c>
      <c r="F288">
        <v>4.9411688495538897E-2</v>
      </c>
      <c r="G288">
        <v>-3.0871030093155172E-2</v>
      </c>
      <c r="H288">
        <v>2.2802516580282539E-3</v>
      </c>
      <c r="I288">
        <v>1.2885958255334451E-2</v>
      </c>
      <c r="J288">
        <v>-2.1521578674915887E-2</v>
      </c>
      <c r="K288">
        <v>6.9028356016966885E-3</v>
      </c>
      <c r="L288" s="11">
        <f t="shared" si="8"/>
        <v>-9.3077223101567497E-5</v>
      </c>
      <c r="M288" s="11">
        <f t="shared" si="9"/>
        <v>-9.3077223101567524E-5</v>
      </c>
    </row>
    <row r="289" spans="1:13">
      <c r="A289" s="1">
        <v>45713</v>
      </c>
      <c r="B289">
        <v>-9.1156653674973054E-3</v>
      </c>
      <c r="C289">
        <v>1.2749798459432027E-2</v>
      </c>
      <c r="D289">
        <v>-1.5099046746813727E-2</v>
      </c>
      <c r="E289">
        <v>-1.1360972818184711E-2</v>
      </c>
      <c r="F289">
        <v>1.7937275782850648E-2</v>
      </c>
      <c r="G289">
        <v>-2.8016604167535708E-2</v>
      </c>
      <c r="H289">
        <v>1.6704538879507291E-2</v>
      </c>
      <c r="I289">
        <v>1.2368514491976068E-2</v>
      </c>
      <c r="J289">
        <v>-8.3895595222036379E-2</v>
      </c>
      <c r="K289">
        <v>1.4076789527966538E-2</v>
      </c>
      <c r="L289" s="11">
        <f t="shared" si="8"/>
        <v>-7.3650967180335257E-3</v>
      </c>
      <c r="M289" s="11">
        <f t="shared" si="9"/>
        <v>-7.3650967180335257E-3</v>
      </c>
    </row>
    <row r="290" spans="1:13">
      <c r="A290" s="1">
        <v>45714</v>
      </c>
      <c r="B290">
        <v>-2.9337582661044248E-2</v>
      </c>
      <c r="C290">
        <v>-9.6516608277561478E-3</v>
      </c>
      <c r="D290">
        <v>4.599179960434796E-3</v>
      </c>
      <c r="E290">
        <v>1.3118586480628247E-2</v>
      </c>
      <c r="F290">
        <v>-6.730388771716056E-3</v>
      </c>
      <c r="G290">
        <v>3.6721251887926964E-2</v>
      </c>
      <c r="H290">
        <v>-3.1389964098154644E-2</v>
      </c>
      <c r="I290">
        <v>-1.3875516408685007E-2</v>
      </c>
      <c r="J290">
        <v>-3.9630120487999188E-2</v>
      </c>
      <c r="K290">
        <v>1.0576187328735331E-2</v>
      </c>
      <c r="L290" s="11">
        <f t="shared" si="8"/>
        <v>-6.5600027597629952E-3</v>
      </c>
      <c r="M290" s="11">
        <f t="shared" si="9"/>
        <v>-6.5600027597629952E-3</v>
      </c>
    </row>
    <row r="291" spans="1:13">
      <c r="A291" s="1">
        <v>45715</v>
      </c>
      <c r="B291">
        <v>4.5654679587030511E-3</v>
      </c>
      <c r="C291">
        <v>9.8864268968545943E-4</v>
      </c>
      <c r="D291">
        <v>-1.8012138270736E-2</v>
      </c>
      <c r="E291">
        <v>-2.7260964285932276E-2</v>
      </c>
      <c r="F291">
        <v>-1.4167831517452378E-2</v>
      </c>
      <c r="G291">
        <v>-8.4780679962682015E-2</v>
      </c>
      <c r="H291">
        <v>3.3662321270333528E-3</v>
      </c>
      <c r="I291">
        <v>1.3185838583970044E-2</v>
      </c>
      <c r="J291">
        <v>-3.0433204805488612E-2</v>
      </c>
      <c r="K291">
        <v>-3.1217640376032252E-3</v>
      </c>
      <c r="L291" s="11">
        <f t="shared" si="8"/>
        <v>-1.5567040152050262E-2</v>
      </c>
      <c r="M291" s="11">
        <f t="shared" si="9"/>
        <v>-1.556704015205026E-2</v>
      </c>
    </row>
    <row r="292" spans="1:13">
      <c r="A292" s="1">
        <v>45716</v>
      </c>
      <c r="B292">
        <v>4.6022150568434395E-3</v>
      </c>
      <c r="C292">
        <v>4.7975480800581671E-3</v>
      </c>
      <c r="D292">
        <v>1.1362152055172992E-2</v>
      </c>
      <c r="E292">
        <v>1.8160663400752064E-2</v>
      </c>
      <c r="F292">
        <v>-7.3730530028502939E-3</v>
      </c>
      <c r="G292">
        <v>3.9700340898145114E-2</v>
      </c>
      <c r="H292">
        <v>9.5383161385780291E-3</v>
      </c>
      <c r="I292">
        <v>1.1529353799865083E-2</v>
      </c>
      <c r="J292">
        <v>3.912040539724404E-2</v>
      </c>
      <c r="K292">
        <v>1.300356225487409E-2</v>
      </c>
      <c r="L292" s="11">
        <f t="shared" si="8"/>
        <v>1.4444150407868273E-2</v>
      </c>
      <c r="M292" s="11">
        <f t="shared" si="9"/>
        <v>1.4444150407868273E-2</v>
      </c>
    </row>
    <row r="293" spans="1:13">
      <c r="A293" s="1">
        <v>45719</v>
      </c>
      <c r="B293">
        <v>-2.6169656968662136E-2</v>
      </c>
      <c r="C293">
        <v>1.5587640367730637E-2</v>
      </c>
      <c r="D293">
        <v>-2.1411149866034429E-2</v>
      </c>
      <c r="E293">
        <v>-6.9959873629782399E-3</v>
      </c>
      <c r="F293">
        <v>-7.8451075218393118E-3</v>
      </c>
      <c r="G293">
        <v>-8.6935630975290445E-2</v>
      </c>
      <c r="H293">
        <v>1.6420085506614779E-2</v>
      </c>
      <c r="I293">
        <v>-3.4538477021704983E-3</v>
      </c>
      <c r="J293">
        <v>-2.843203214376544E-2</v>
      </c>
      <c r="K293">
        <v>2.0904148712597159E-3</v>
      </c>
      <c r="L293" s="11">
        <f t="shared" si="8"/>
        <v>-1.4714527179513538E-2</v>
      </c>
      <c r="M293" s="11">
        <f t="shared" si="9"/>
        <v>-1.4714527179513538E-2</v>
      </c>
    </row>
    <row r="294" spans="1:13">
      <c r="A294" s="1">
        <v>45720</v>
      </c>
      <c r="B294">
        <v>-6.5623919924283847E-2</v>
      </c>
      <c r="C294">
        <v>-2.9452363346100685E-2</v>
      </c>
      <c r="D294">
        <v>3.0889186754046172E-4</v>
      </c>
      <c r="E294">
        <v>-1.1502465884224433E-3</v>
      </c>
      <c r="F294">
        <v>-1.3901258895263613E-2</v>
      </c>
      <c r="G294">
        <v>1.6920910491736718E-2</v>
      </c>
      <c r="H294">
        <v>-1.1539215544450143E-2</v>
      </c>
      <c r="I294">
        <v>-2.9027033860577034E-2</v>
      </c>
      <c r="J294">
        <v>-4.4299967054096334E-2</v>
      </c>
      <c r="K294">
        <v>-1.8862323131338732E-2</v>
      </c>
      <c r="L294" s="11">
        <f t="shared" si="8"/>
        <v>-1.9662652598525572E-2</v>
      </c>
      <c r="M294" s="11">
        <f t="shared" si="9"/>
        <v>-1.9662652598525565E-2</v>
      </c>
    </row>
    <row r="295" spans="1:13">
      <c r="A295" s="1">
        <v>45721</v>
      </c>
      <c r="B295">
        <v>2.6809376521437667E-2</v>
      </c>
      <c r="C295">
        <v>-1.5671461068480497E-3</v>
      </c>
      <c r="D295">
        <v>3.1934355453624663E-2</v>
      </c>
      <c r="E295">
        <v>1.88570251270328E-2</v>
      </c>
      <c r="F295">
        <v>6.3372714520730788E-3</v>
      </c>
      <c r="G295">
        <v>1.1294103313252091E-2</v>
      </c>
      <c r="H295">
        <v>-2.0105527778683241E-3</v>
      </c>
      <c r="I295">
        <v>-3.3017603400750106E-3</v>
      </c>
      <c r="J295">
        <v>2.5952056083060171E-2</v>
      </c>
      <c r="K295">
        <v>1.6768820068480128E-3</v>
      </c>
      <c r="L295" s="11">
        <f t="shared" si="8"/>
        <v>1.1598161073253711E-2</v>
      </c>
      <c r="M295" s="11">
        <f t="shared" si="9"/>
        <v>1.159816107325371E-2</v>
      </c>
    </row>
    <row r="296" spans="1:13">
      <c r="A296" s="1">
        <v>45722</v>
      </c>
      <c r="B296">
        <v>-2.8990015200805463E-2</v>
      </c>
      <c r="C296">
        <v>5.422325161685615E-3</v>
      </c>
      <c r="D296">
        <v>-1.0298673972249373E-2</v>
      </c>
      <c r="E296">
        <v>-8.5334839358326642E-2</v>
      </c>
      <c r="F296">
        <v>-1.2852144667712118E-3</v>
      </c>
      <c r="G296">
        <v>-5.7374242336720838E-2</v>
      </c>
      <c r="H296">
        <v>4.7440265547378235E-3</v>
      </c>
      <c r="I296">
        <v>-5.5689813637431196E-2</v>
      </c>
      <c r="J296">
        <v>-5.6073068986890573E-2</v>
      </c>
      <c r="K296">
        <v>-1.2167414818920252E-2</v>
      </c>
      <c r="L296" s="11">
        <f t="shared" si="8"/>
        <v>-2.9704693106169213E-2</v>
      </c>
      <c r="M296" s="11">
        <f t="shared" si="9"/>
        <v>-2.970469310616921E-2</v>
      </c>
    </row>
    <row r="297" spans="1:13">
      <c r="A297" s="1">
        <v>45723</v>
      </c>
      <c r="B297">
        <v>-2.6825728690762607E-2</v>
      </c>
      <c r="C297">
        <v>1.3766623991894322E-2</v>
      </c>
      <c r="D297">
        <v>-9.0201718450778623E-3</v>
      </c>
      <c r="E297">
        <v>-1.6825544205909315E-2</v>
      </c>
      <c r="F297">
        <v>1.1324164919183755E-2</v>
      </c>
      <c r="G297">
        <v>1.9173388638406008E-2</v>
      </c>
      <c r="H297">
        <v>7.7321826472853683E-3</v>
      </c>
      <c r="I297">
        <v>9.5761617625946815E-3</v>
      </c>
      <c r="J297">
        <v>-2.9607088371819135E-3</v>
      </c>
      <c r="K297">
        <v>1.3922432691506614E-3</v>
      </c>
      <c r="L297" s="11">
        <f t="shared" si="8"/>
        <v>7.3326116495830919E-4</v>
      </c>
      <c r="M297" s="11">
        <f t="shared" si="9"/>
        <v>7.3326116495830984E-4</v>
      </c>
    </row>
    <row r="298" spans="1:13">
      <c r="A298" s="1">
        <v>45726</v>
      </c>
      <c r="B298">
        <v>-3.9110124956207692E-2</v>
      </c>
      <c r="C298">
        <v>2.8000899409641455E-4</v>
      </c>
      <c r="D298">
        <v>-3.3434141521946903E-2</v>
      </c>
      <c r="E298">
        <v>-2.7415238385128049E-2</v>
      </c>
      <c r="F298">
        <v>-2.7866076468316403E-2</v>
      </c>
      <c r="G298">
        <v>-5.0670024349749099E-2</v>
      </c>
      <c r="H298">
        <v>1.1719689541894729E-2</v>
      </c>
      <c r="I298">
        <v>-5.0244238718260559E-2</v>
      </c>
      <c r="J298">
        <v>-0.15426206822195132</v>
      </c>
      <c r="K298">
        <v>3.3545299279753582E-3</v>
      </c>
      <c r="L298" s="11">
        <f t="shared" si="8"/>
        <v>-3.6764768415759347E-2</v>
      </c>
      <c r="M298" s="11">
        <f t="shared" si="9"/>
        <v>-3.6764768415759354E-2</v>
      </c>
    </row>
    <row r="299" spans="1:13">
      <c r="A299" s="1">
        <v>45727</v>
      </c>
      <c r="B299">
        <v>3.9892027712390421E-2</v>
      </c>
      <c r="C299">
        <v>-5.7382525288276476E-3</v>
      </c>
      <c r="D299">
        <v>7.6281202510064539E-4</v>
      </c>
      <c r="E299">
        <v>3.2791783761400017E-2</v>
      </c>
      <c r="F299">
        <v>-2.9188587779078179E-2</v>
      </c>
      <c r="G299">
        <v>1.6638659885702012E-2</v>
      </c>
      <c r="H299">
        <v>-2.5087917100246382E-2</v>
      </c>
      <c r="I299">
        <v>-1.5326779231649157E-2</v>
      </c>
      <c r="J299">
        <v>3.7947369642954643E-2</v>
      </c>
      <c r="K299">
        <v>-1.6506061890011803E-2</v>
      </c>
      <c r="L299" s="11">
        <f t="shared" si="8"/>
        <v>3.6185054497734569E-3</v>
      </c>
      <c r="M299" s="11">
        <f t="shared" si="9"/>
        <v>3.6185054497734569E-3</v>
      </c>
    </row>
    <row r="300" spans="1:13">
      <c r="A300" s="1">
        <v>45728</v>
      </c>
      <c r="B300">
        <v>3.0767269688948495E-2</v>
      </c>
      <c r="C300">
        <v>-1.5484169019240768E-2</v>
      </c>
      <c r="D300">
        <v>7.4122404186987012E-3</v>
      </c>
      <c r="E300">
        <v>2.7460638766919621E-2</v>
      </c>
      <c r="F300">
        <v>-7.9546007581720035E-3</v>
      </c>
      <c r="G300">
        <v>6.4275886842782182E-2</v>
      </c>
      <c r="H300">
        <v>-2.730915259811928E-2</v>
      </c>
      <c r="I300">
        <v>-8.9374917974486268E-3</v>
      </c>
      <c r="J300">
        <v>7.5938912168391548E-2</v>
      </c>
      <c r="K300">
        <v>-1.6599214906825588E-2</v>
      </c>
      <c r="L300" s="11">
        <f t="shared" si="8"/>
        <v>1.2957031880593432E-2</v>
      </c>
      <c r="M300" s="11">
        <f t="shared" si="9"/>
        <v>1.2957031880593429E-2</v>
      </c>
    </row>
    <row r="301" spans="1:13">
      <c r="A301" s="1">
        <v>45729</v>
      </c>
      <c r="B301">
        <v>3.274586035691307E-3</v>
      </c>
      <c r="C301">
        <v>-4.5754776179751655E-3</v>
      </c>
      <c r="D301">
        <v>-1.1741087272258421E-2</v>
      </c>
      <c r="E301">
        <v>-3.2087258612385927E-2</v>
      </c>
      <c r="F301">
        <v>-1.2775283909405744E-2</v>
      </c>
      <c r="G301">
        <v>-1.382404632544687E-3</v>
      </c>
      <c r="H301">
        <v>1.1473099070435921E-3</v>
      </c>
      <c r="I301">
        <v>-2.685178257898102E-2</v>
      </c>
      <c r="J301">
        <v>-2.9868208196580537E-2</v>
      </c>
      <c r="K301">
        <v>-6.2286172077881119E-3</v>
      </c>
      <c r="L301" s="11">
        <f t="shared" si="8"/>
        <v>-1.2108822408518471E-2</v>
      </c>
      <c r="M301" s="11">
        <f t="shared" si="9"/>
        <v>-1.2108822408518471E-2</v>
      </c>
    </row>
    <row r="302" spans="1:13">
      <c r="A302" s="1">
        <v>45730</v>
      </c>
      <c r="B302">
        <v>1.5628860908271536E-2</v>
      </c>
      <c r="C302">
        <v>7.2355851145622374E-4</v>
      </c>
      <c r="D302">
        <v>2.5846832027436761E-2</v>
      </c>
      <c r="E302">
        <v>3.126371100366887E-2</v>
      </c>
      <c r="F302">
        <v>-1.3491130566509968E-2</v>
      </c>
      <c r="G302">
        <v>5.26907728615571E-2</v>
      </c>
      <c r="H302">
        <v>1.6852991395512884E-3</v>
      </c>
      <c r="I302">
        <v>2.1553491012432868E-2</v>
      </c>
      <c r="J302">
        <v>3.8640532386445603E-2</v>
      </c>
      <c r="K302">
        <v>1.7267219245130638E-2</v>
      </c>
      <c r="L302" s="11">
        <f t="shared" si="8"/>
        <v>1.9180914652944095E-2</v>
      </c>
      <c r="M302" s="11">
        <f t="shared" si="9"/>
        <v>1.9180914652944091E-2</v>
      </c>
    </row>
    <row r="303" spans="1:13">
      <c r="A303" s="1">
        <v>45733</v>
      </c>
      <c r="B303">
        <v>2.4725632238831174E-4</v>
      </c>
      <c r="C303">
        <v>1.3880878925685902E-2</v>
      </c>
      <c r="D303">
        <v>3.6037448101611247E-4</v>
      </c>
      <c r="E303">
        <v>3.4880195567810413E-2</v>
      </c>
      <c r="F303">
        <v>2.8467693223123369E-2</v>
      </c>
      <c r="G303">
        <v>-1.758858397272467E-2</v>
      </c>
      <c r="H303">
        <v>1.850730816919044E-2</v>
      </c>
      <c r="I303">
        <v>9.8869359660900269E-3</v>
      </c>
      <c r="J303">
        <v>-4.7883836408055935E-2</v>
      </c>
      <c r="K303">
        <v>1.1459901879250944E-2</v>
      </c>
      <c r="L303" s="11">
        <f t="shared" si="8"/>
        <v>5.2218124153774921E-3</v>
      </c>
      <c r="M303" s="11">
        <f t="shared" si="9"/>
        <v>5.2218124153774912E-3</v>
      </c>
    </row>
    <row r="304" spans="1:13">
      <c r="A304" s="1">
        <v>45734</v>
      </c>
      <c r="B304">
        <v>-1.7299893032930447E-3</v>
      </c>
      <c r="C304">
        <v>-1.0553388581313605E-2</v>
      </c>
      <c r="D304">
        <v>-1.3326535354079128E-2</v>
      </c>
      <c r="E304">
        <v>-2.1094333435613288E-2</v>
      </c>
      <c r="F304">
        <v>-5.2916597585728198E-3</v>
      </c>
      <c r="G304">
        <v>-3.4301020276586325E-2</v>
      </c>
      <c r="H304">
        <v>-1.5527944296004126E-2</v>
      </c>
      <c r="I304">
        <v>-8.0743154957843011E-3</v>
      </c>
      <c r="J304">
        <v>-5.3359090968246203E-2</v>
      </c>
      <c r="K304">
        <v>2.022363026741858E-2</v>
      </c>
      <c r="L304" s="11">
        <f t="shared" si="8"/>
        <v>-1.430346472020743E-2</v>
      </c>
      <c r="M304" s="11">
        <f t="shared" si="9"/>
        <v>-1.4303464720207427E-2</v>
      </c>
    </row>
    <row r="305" spans="1:13">
      <c r="A305" s="1">
        <v>45735</v>
      </c>
      <c r="B305">
        <v>6.8391330643411186E-2</v>
      </c>
      <c r="C305">
        <v>-1.4413745940421441E-3</v>
      </c>
      <c r="D305">
        <v>1.1211995643546802E-2</v>
      </c>
      <c r="E305">
        <v>3.173187636872643E-2</v>
      </c>
      <c r="F305">
        <v>-4.3651149924474053E-3</v>
      </c>
      <c r="G305">
        <v>1.8106181739337979E-2</v>
      </c>
      <c r="H305">
        <v>-5.9064634286598583E-3</v>
      </c>
      <c r="I305">
        <v>9.2592816985703763E-3</v>
      </c>
      <c r="J305">
        <v>4.6824389357220664E-2</v>
      </c>
      <c r="K305">
        <v>-1.3732818742846487E-3</v>
      </c>
      <c r="L305" s="11">
        <f t="shared" si="8"/>
        <v>1.724388205613794E-2</v>
      </c>
      <c r="M305" s="11">
        <f t="shared" si="9"/>
        <v>1.7243882056137937E-2</v>
      </c>
    </row>
    <row r="306" spans="1:13">
      <c r="A306" s="1">
        <v>45736</v>
      </c>
      <c r="B306">
        <v>1.216583940489846E-3</v>
      </c>
      <c r="C306">
        <v>6.2066908000384391E-3</v>
      </c>
      <c r="D306">
        <v>-2.5270404363499921E-3</v>
      </c>
      <c r="E306">
        <v>-9.0151679193590795E-3</v>
      </c>
      <c r="F306">
        <v>-1.5481514419621645E-2</v>
      </c>
      <c r="G306">
        <v>8.5943129662457984E-3</v>
      </c>
      <c r="H306">
        <v>-6.4816985649828185E-3</v>
      </c>
      <c r="I306">
        <v>9.0727084672215241E-4</v>
      </c>
      <c r="J306">
        <v>1.695895427155536E-3</v>
      </c>
      <c r="K306">
        <v>0</v>
      </c>
      <c r="L306" s="11">
        <f t="shared" si="8"/>
        <v>-1.4884667359661766E-3</v>
      </c>
      <c r="M306" s="11">
        <f t="shared" si="9"/>
        <v>-1.4884667359661764E-3</v>
      </c>
    </row>
    <row r="307" spans="1:13">
      <c r="A307" s="1">
        <v>45737</v>
      </c>
      <c r="B307">
        <v>3.0550244305721508E-2</v>
      </c>
      <c r="C307">
        <v>-1.4918893013552537E-2</v>
      </c>
      <c r="D307">
        <v>1.1425980008762826E-2</v>
      </c>
      <c r="E307">
        <v>9.9385289901257057E-3</v>
      </c>
      <c r="F307">
        <v>-5.4550489368367039E-2</v>
      </c>
      <c r="G307">
        <v>-7.0024335551851502E-3</v>
      </c>
      <c r="H307">
        <v>-1.155283781084615E-2</v>
      </c>
      <c r="I307">
        <v>-2.226026284141791E-2</v>
      </c>
      <c r="J307">
        <v>5.2696235065187169E-2</v>
      </c>
      <c r="K307">
        <v>-5.381029640806223E-3</v>
      </c>
      <c r="L307" s="11">
        <f t="shared" si="8"/>
        <v>-1.1054957860377808E-3</v>
      </c>
      <c r="M307" s="11">
        <f t="shared" si="9"/>
        <v>-1.1054957860377802E-3</v>
      </c>
    </row>
    <row r="308" spans="1:13">
      <c r="A308" s="1">
        <v>45740</v>
      </c>
      <c r="B308">
        <v>1.5664439259851726E-2</v>
      </c>
      <c r="C308">
        <v>4.077464781639506E-3</v>
      </c>
      <c r="D308">
        <v>4.6516011094202003E-3</v>
      </c>
      <c r="E308">
        <v>1.2183832461801325E-2</v>
      </c>
      <c r="F308">
        <v>-8.0954140644799999E-3</v>
      </c>
      <c r="G308">
        <v>3.1520857860211526E-2</v>
      </c>
      <c r="H308">
        <v>6.8752463872967517E-3</v>
      </c>
      <c r="I308">
        <v>-1.3907471583515352E-2</v>
      </c>
      <c r="J308">
        <v>0.11933580126800414</v>
      </c>
      <c r="K308">
        <v>1.3555429229120231E-2</v>
      </c>
      <c r="L308" s="11">
        <f t="shared" si="8"/>
        <v>1.8586178670935007E-2</v>
      </c>
      <c r="M308" s="11">
        <f t="shared" si="9"/>
        <v>1.8586178670935004E-2</v>
      </c>
    </row>
    <row r="309" spans="1:13">
      <c r="A309" s="1">
        <v>45741</v>
      </c>
      <c r="B309">
        <v>9.3421918099845236E-3</v>
      </c>
      <c r="C309">
        <v>-2.0305090079668631E-3</v>
      </c>
      <c r="D309">
        <v>5.2915793785126564E-3</v>
      </c>
      <c r="E309">
        <v>2.6018826651087013E-2</v>
      </c>
      <c r="F309">
        <v>-1.2613068883026268E-2</v>
      </c>
      <c r="G309">
        <v>-5.9303005395796582E-3</v>
      </c>
      <c r="H309">
        <v>-6.213779462285296E-3</v>
      </c>
      <c r="I309">
        <v>1.6715487394718398E-3</v>
      </c>
      <c r="J309">
        <v>3.5022807884516727E-2</v>
      </c>
      <c r="K309">
        <v>2.1054781570735148E-3</v>
      </c>
      <c r="L309" s="11">
        <f t="shared" si="8"/>
        <v>5.266477472778819E-3</v>
      </c>
      <c r="M309" s="11">
        <f t="shared" si="9"/>
        <v>5.266477472778819E-3</v>
      </c>
    </row>
    <row r="310" spans="1:13">
      <c r="A310" s="1">
        <v>45742</v>
      </c>
      <c r="B310">
        <v>-2.2126038486012356E-2</v>
      </c>
      <c r="C310">
        <v>1.7584603508658203E-2</v>
      </c>
      <c r="D310">
        <v>-1.313389878045168E-2</v>
      </c>
      <c r="E310">
        <v>-2.6702635268439301E-2</v>
      </c>
      <c r="F310">
        <v>-1.2022917019181123E-2</v>
      </c>
      <c r="G310">
        <v>-5.7419840280508949E-2</v>
      </c>
      <c r="H310">
        <v>2.1300031469317249E-2</v>
      </c>
      <c r="I310">
        <v>2.1798123633390176E-2</v>
      </c>
      <c r="J310">
        <v>-5.5806261790690148E-2</v>
      </c>
      <c r="K310">
        <v>1.9530033034482752E-3</v>
      </c>
      <c r="L310" s="11">
        <f t="shared" si="8"/>
        <v>-1.2457582971046967E-2</v>
      </c>
      <c r="M310" s="11">
        <f t="shared" si="9"/>
        <v>-1.2457582971046965E-2</v>
      </c>
    </row>
    <row r="311" spans="1:13">
      <c r="A311" s="1">
        <v>45743</v>
      </c>
      <c r="B311">
        <v>3.1363626380429555E-3</v>
      </c>
      <c r="C311">
        <v>1.0282822048996998E-2</v>
      </c>
      <c r="D311">
        <v>1.5641560750387917E-3</v>
      </c>
      <c r="E311">
        <v>6.2534859489928873E-3</v>
      </c>
      <c r="F311">
        <v>9.1275625050601938E-4</v>
      </c>
      <c r="G311">
        <v>-2.0481744923909528E-2</v>
      </c>
      <c r="H311">
        <v>6.9295516682807978E-3</v>
      </c>
      <c r="I311">
        <v>8.9822596920463571E-3</v>
      </c>
      <c r="J311">
        <v>3.9329829222267687E-3</v>
      </c>
      <c r="K311">
        <v>6.7634453947578166E-3</v>
      </c>
      <c r="L311" s="11">
        <f t="shared" si="8"/>
        <v>2.8276077714979864E-3</v>
      </c>
      <c r="M311" s="11">
        <f t="shared" si="9"/>
        <v>2.8276077714979864E-3</v>
      </c>
    </row>
    <row r="312" spans="1:13">
      <c r="A312" s="1">
        <v>45744</v>
      </c>
      <c r="B312">
        <v>-3.2382351806115706E-2</v>
      </c>
      <c r="C312">
        <v>-5.2302843598500681E-3</v>
      </c>
      <c r="D312">
        <v>-3.0160299683635206E-2</v>
      </c>
      <c r="E312">
        <v>-4.3891797447662029E-2</v>
      </c>
      <c r="F312">
        <v>-3.8145917392745199E-2</v>
      </c>
      <c r="G312">
        <v>-1.5794689509741167E-2</v>
      </c>
      <c r="H312">
        <v>-2.6725583195884584E-3</v>
      </c>
      <c r="I312">
        <v>-1.1330189051004913E-2</v>
      </c>
      <c r="J312">
        <v>-3.507493471453027E-2</v>
      </c>
      <c r="K312">
        <v>-1.0913015795951275E-2</v>
      </c>
      <c r="L312" s="11">
        <f t="shared" si="8"/>
        <v>-2.2559603808082428E-2</v>
      </c>
      <c r="M312" s="11">
        <f t="shared" si="9"/>
        <v>-2.2559603808082428E-2</v>
      </c>
    </row>
    <row r="313" spans="1:13">
      <c r="A313" s="1">
        <v>45747</v>
      </c>
      <c r="B313">
        <v>-1.5925189231526637E-2</v>
      </c>
      <c r="C313">
        <v>1.7763214859854992E-2</v>
      </c>
      <c r="D313">
        <v>-9.0020219903974574E-3</v>
      </c>
      <c r="E313">
        <v>-1.4134457606360673E-3</v>
      </c>
      <c r="F313">
        <v>3.0020209247132446E-3</v>
      </c>
      <c r="G313">
        <v>-1.1762550797750682E-2</v>
      </c>
      <c r="H313">
        <v>4.4885568824017952E-3</v>
      </c>
      <c r="I313">
        <v>3.6835344320649277E-3</v>
      </c>
      <c r="J313">
        <v>-1.6657121359108462E-2</v>
      </c>
      <c r="K313">
        <v>5.0857457738902045E-3</v>
      </c>
      <c r="L313" s="11">
        <f t="shared" si="8"/>
        <v>-2.073725626649414E-3</v>
      </c>
      <c r="M313" s="11">
        <f t="shared" si="9"/>
        <v>-2.073725626649414E-3</v>
      </c>
    </row>
    <row r="314" spans="1:13">
      <c r="A314" s="1">
        <v>45748</v>
      </c>
      <c r="B314">
        <v>-1.3954880329669184E-2</v>
      </c>
      <c r="C314">
        <v>3.4906809322146071E-3</v>
      </c>
      <c r="D314">
        <v>1.8114486939047936E-2</v>
      </c>
      <c r="E314">
        <v>-4.4502850135476058E-3</v>
      </c>
      <c r="F314">
        <v>2.0163883196231858E-2</v>
      </c>
      <c r="G314">
        <v>1.6331403136605305E-2</v>
      </c>
      <c r="H314">
        <v>-1.8007540676953093E-3</v>
      </c>
      <c r="I314">
        <v>1.4272762341909218E-3</v>
      </c>
      <c r="J314">
        <v>3.5885119854737635E-2</v>
      </c>
      <c r="K314">
        <v>-2.8111076249542899E-3</v>
      </c>
      <c r="L314" s="11">
        <f t="shared" si="8"/>
        <v>7.239582325716188E-3</v>
      </c>
      <c r="M314" s="11">
        <f t="shared" si="9"/>
        <v>7.2395823257161871E-3</v>
      </c>
    </row>
    <row r="315" spans="1:13">
      <c r="A315" s="1">
        <v>45749</v>
      </c>
      <c r="B315">
        <v>2.3190782773050422E-3</v>
      </c>
      <c r="C315">
        <v>-7.5136516357633409E-3</v>
      </c>
      <c r="D315">
        <v>-1.3079316736386293E-4</v>
      </c>
      <c r="E315">
        <v>7.6908319986266349E-3</v>
      </c>
      <c r="F315">
        <v>3.0882857659926266E-3</v>
      </c>
      <c r="G315">
        <v>2.4512041565496467E-3</v>
      </c>
      <c r="H315">
        <v>-3.6747934564863582E-3</v>
      </c>
      <c r="I315">
        <v>1.2012642433276488E-2</v>
      </c>
      <c r="J315">
        <v>5.3266850799776666E-2</v>
      </c>
      <c r="K315">
        <v>1.2759036507905552E-3</v>
      </c>
      <c r="L315" s="11">
        <f t="shared" si="8"/>
        <v>7.0785558822704106E-3</v>
      </c>
      <c r="M315" s="11">
        <f t="shared" si="9"/>
        <v>7.0785558822704098E-3</v>
      </c>
    </row>
    <row r="316" spans="1:13">
      <c r="A316" s="1">
        <v>45750</v>
      </c>
      <c r="B316">
        <v>-0.1047104541535645</v>
      </c>
      <c r="C316">
        <v>2.5935757534367054E-2</v>
      </c>
      <c r="D316">
        <v>-2.3630176386656321E-2</v>
      </c>
      <c r="E316">
        <v>-1.974306412762461E-2</v>
      </c>
      <c r="F316">
        <v>-0.14439651477786086</v>
      </c>
      <c r="G316">
        <v>-7.8065556405090497E-2</v>
      </c>
      <c r="H316">
        <v>1.5088562130042948E-2</v>
      </c>
      <c r="I316">
        <v>-0.11216172528154011</v>
      </c>
      <c r="J316">
        <v>-5.4746111372538486E-2</v>
      </c>
      <c r="K316">
        <v>-1.4877127489194453E-2</v>
      </c>
      <c r="L316" s="11">
        <f t="shared" si="8"/>
        <v>-5.1130641032965982E-2</v>
      </c>
      <c r="M316" s="11">
        <f t="shared" si="9"/>
        <v>-5.1130641032965982E-2</v>
      </c>
    </row>
    <row r="317" spans="1:13">
      <c r="A317" s="1">
        <v>45751</v>
      </c>
      <c r="B317">
        <v>-9.4891040863545606E-2</v>
      </c>
      <c r="C317">
        <v>-4.4410976244344424E-2</v>
      </c>
      <c r="D317">
        <v>-3.5565875953322279E-2</v>
      </c>
      <c r="E317">
        <v>-6.6724827714866208E-2</v>
      </c>
      <c r="F317">
        <v>3.0046752827543655E-2</v>
      </c>
      <c r="G317">
        <v>-7.3575630651097401E-2</v>
      </c>
      <c r="H317">
        <v>-3.1446165285237915E-2</v>
      </c>
      <c r="I317">
        <v>-6.9793850644328304E-2</v>
      </c>
      <c r="J317">
        <v>-0.10419786826814492</v>
      </c>
      <c r="K317">
        <v>-7.1026744230696104E-2</v>
      </c>
      <c r="L317" s="11">
        <f t="shared" si="8"/>
        <v>-5.6158622702803952E-2</v>
      </c>
      <c r="M317" s="11">
        <f t="shared" si="9"/>
        <v>-5.6158622702803952E-2</v>
      </c>
    </row>
    <row r="318" spans="1:13">
      <c r="A318" s="1">
        <v>45754</v>
      </c>
      <c r="B318">
        <v>1.6619110720565322E-2</v>
      </c>
      <c r="C318">
        <v>-2.2308045263701226E-2</v>
      </c>
      <c r="D318">
        <v>-5.5024669424605932E-3</v>
      </c>
      <c r="E318">
        <v>1.3985969601516102E-2</v>
      </c>
      <c r="F318">
        <v>-2.8646290107626871E-2</v>
      </c>
      <c r="G318">
        <v>3.5309050363649064E-2</v>
      </c>
      <c r="H318">
        <v>-2.3327142924782329E-2</v>
      </c>
      <c r="I318">
        <v>-2.5578560676636442E-2</v>
      </c>
      <c r="J318">
        <v>-2.5644236634811857E-2</v>
      </c>
      <c r="K318">
        <v>-2.5226636384382717E-2</v>
      </c>
      <c r="L318" s="11">
        <f t="shared" si="8"/>
        <v>-9.0319248248671557E-3</v>
      </c>
      <c r="M318" s="11">
        <f t="shared" si="9"/>
        <v>-9.031924824867154E-3</v>
      </c>
    </row>
    <row r="319" spans="1:13">
      <c r="A319" s="1">
        <v>45755</v>
      </c>
      <c r="B319">
        <v>3.8167850854633478E-3</v>
      </c>
      <c r="C319">
        <v>7.3127749244394913E-4</v>
      </c>
      <c r="D319">
        <v>-9.221462386419077E-3</v>
      </c>
      <c r="E319">
        <v>2.9614178740178243E-3</v>
      </c>
      <c r="F319">
        <v>-4.2078807788287653E-2</v>
      </c>
      <c r="G319">
        <v>-1.3723783758059716E-2</v>
      </c>
      <c r="H319">
        <v>-2.0182929785343529E-2</v>
      </c>
      <c r="I319">
        <v>-3.8749736133393275E-3</v>
      </c>
      <c r="J319">
        <v>-4.8994783337157677E-2</v>
      </c>
      <c r="K319">
        <v>3.4882106878448838E-3</v>
      </c>
      <c r="L319" s="11">
        <f t="shared" si="8"/>
        <v>-1.2707904952883698E-2</v>
      </c>
      <c r="M319" s="11">
        <f t="shared" si="9"/>
        <v>-1.2707904952883698E-2</v>
      </c>
    </row>
    <row r="320" spans="1:13">
      <c r="A320" s="1">
        <v>45756</v>
      </c>
      <c r="B320">
        <v>0.15374135898132102</v>
      </c>
      <c r="C320">
        <v>2.236183991391405E-2</v>
      </c>
      <c r="D320">
        <v>0.10133680183690119</v>
      </c>
      <c r="E320">
        <v>8.6247638078363664E-2</v>
      </c>
      <c r="F320">
        <v>0.11357236883697186</v>
      </c>
      <c r="G320">
        <v>0.18722731737741061</v>
      </c>
      <c r="H320">
        <v>3.7704838543156649E-2</v>
      </c>
      <c r="I320">
        <v>0.11281214719088006</v>
      </c>
      <c r="J320">
        <v>0.22689989839624736</v>
      </c>
      <c r="K320">
        <v>4.2210187133213894E-2</v>
      </c>
      <c r="L320" s="11">
        <f t="shared" si="8"/>
        <v>0.10841143962883805</v>
      </c>
      <c r="M320" s="11">
        <f t="shared" si="9"/>
        <v>0.10841143962883804</v>
      </c>
    </row>
    <row r="321" spans="1:13">
      <c r="A321" s="1">
        <v>45757</v>
      </c>
      <c r="B321">
        <v>-3.2956117462879186E-2</v>
      </c>
      <c r="C321">
        <v>1.1579833295217723E-2</v>
      </c>
      <c r="D321">
        <v>-2.3406436264967523E-2</v>
      </c>
      <c r="E321">
        <v>-2.5701490841531061E-2</v>
      </c>
      <c r="F321">
        <v>-8.2939931207979933E-2</v>
      </c>
      <c r="G321">
        <v>-5.9127076047845728E-2</v>
      </c>
      <c r="H321">
        <v>-9.9594938624144591E-3</v>
      </c>
      <c r="I321">
        <v>-4.6008173478043091E-2</v>
      </c>
      <c r="J321">
        <v>-7.2740695894926821E-2</v>
      </c>
      <c r="K321">
        <v>5.8130043316528823E-3</v>
      </c>
      <c r="L321" s="11">
        <f t="shared" si="8"/>
        <v>-3.3544657743371724E-2</v>
      </c>
      <c r="M321" s="11">
        <f t="shared" si="9"/>
        <v>-3.3544657743371717E-2</v>
      </c>
    </row>
    <row r="322" spans="1:13">
      <c r="A322" s="1">
        <v>45758</v>
      </c>
      <c r="B322">
        <v>8.4876030682037307E-3</v>
      </c>
      <c r="C322">
        <v>9.4685975230357489E-3</v>
      </c>
      <c r="D322">
        <v>1.8618109995703458E-2</v>
      </c>
      <c r="E322">
        <v>-3.1264641013535321E-3</v>
      </c>
      <c r="F322">
        <v>-1.8388465907193119E-4</v>
      </c>
      <c r="G322">
        <v>3.1235450513800833E-2</v>
      </c>
      <c r="H322">
        <v>2.0119152386395278E-3</v>
      </c>
      <c r="I322">
        <v>9.8109429566735074E-3</v>
      </c>
      <c r="J322">
        <v>-3.5656236159775645E-4</v>
      </c>
      <c r="K322">
        <v>1.6106534306636888E-2</v>
      </c>
      <c r="L322" s="11">
        <f t="shared" si="8"/>
        <v>9.2072242480670478E-3</v>
      </c>
      <c r="M322" s="11">
        <f t="shared" si="9"/>
        <v>9.2072242480670478E-3</v>
      </c>
    </row>
    <row r="323" spans="1:13">
      <c r="A323" s="1">
        <v>45761</v>
      </c>
      <c r="B323">
        <v>1.5557271731563516E-2</v>
      </c>
      <c r="C323">
        <v>1.4279650478853378E-2</v>
      </c>
      <c r="D323">
        <v>-1.6476452344500458E-3</v>
      </c>
      <c r="E323">
        <v>1.4145914232274626E-2</v>
      </c>
      <c r="F323">
        <v>1.8753471858426352E-2</v>
      </c>
      <c r="G323">
        <v>-1.98324387963833E-3</v>
      </c>
      <c r="H323">
        <v>1.6063218120719425E-2</v>
      </c>
      <c r="I323">
        <v>7.0229847388314504E-4</v>
      </c>
      <c r="J323">
        <v>1.5856900364275006E-4</v>
      </c>
      <c r="K323">
        <v>1.9518934685272216E-2</v>
      </c>
      <c r="L323" s="11">
        <f t="shared" si="8"/>
        <v>9.5548439470547041E-3</v>
      </c>
      <c r="M323" s="11">
        <f t="shared" si="9"/>
        <v>9.5548439470547024E-3</v>
      </c>
    </row>
    <row r="324" spans="1:13">
      <c r="A324" s="1">
        <v>45762</v>
      </c>
      <c r="B324">
        <v>-2.3606193719564073E-2</v>
      </c>
      <c r="C324">
        <v>-8.1434915753044734E-3</v>
      </c>
      <c r="D324">
        <v>-5.3634085331584203E-3</v>
      </c>
      <c r="E324">
        <v>4.8320589494413868E-2</v>
      </c>
      <c r="F324">
        <v>-1.0467371509460754E-2</v>
      </c>
      <c r="G324">
        <v>1.3458605333029894E-2</v>
      </c>
      <c r="H324">
        <v>-2.6643993194177096E-2</v>
      </c>
      <c r="I324">
        <v>-2.0821131421343675E-2</v>
      </c>
      <c r="J324">
        <v>6.9744183248168223E-3</v>
      </c>
      <c r="K324">
        <v>-2.6217599638079792E-3</v>
      </c>
      <c r="L324" s="11">
        <f t="shared" ref="L324:L387" si="10">SUMPRODUCT(B324:K324,$P$2:$Y$2)</f>
        <v>-2.8913736764555899E-3</v>
      </c>
      <c r="M324" s="11">
        <f t="shared" ref="M324:M387" si="11">SUM(B324:K324)/10</f>
        <v>-2.8913736764555886E-3</v>
      </c>
    </row>
    <row r="325" spans="1:13">
      <c r="A325" s="1">
        <v>45763</v>
      </c>
      <c r="B325">
        <v>6.1085193039134289E-3</v>
      </c>
      <c r="C325">
        <v>-2.5049348617495193E-3</v>
      </c>
      <c r="D325">
        <v>-3.6605970987533043E-2</v>
      </c>
      <c r="E325">
        <v>-1.5005965475514249E-2</v>
      </c>
      <c r="F325">
        <v>-2.3344943123095985E-2</v>
      </c>
      <c r="G325">
        <v>-6.8716582103933721E-2</v>
      </c>
      <c r="H325">
        <v>-1.9252316605508302E-2</v>
      </c>
      <c r="I325">
        <v>-3.524067545966425E-2</v>
      </c>
      <c r="J325">
        <v>-4.9427403598543695E-2</v>
      </c>
      <c r="K325">
        <v>-7.427589979742022E-3</v>
      </c>
      <c r="L325" s="11">
        <f t="shared" si="10"/>
        <v>-2.5141786289137134E-2</v>
      </c>
      <c r="M325" s="11">
        <f t="shared" si="11"/>
        <v>-2.5141786289137137E-2</v>
      </c>
    </row>
    <row r="326" spans="1:13">
      <c r="A326" s="1">
        <v>45764</v>
      </c>
      <c r="B326">
        <v>3.470309090189061E-2</v>
      </c>
      <c r="C326">
        <v>1.8415223554471671E-2</v>
      </c>
      <c r="D326">
        <v>-1.0306466637081679E-2</v>
      </c>
      <c r="E326">
        <v>1.1854896744254884E-2</v>
      </c>
      <c r="F326">
        <v>4.1269798927037415E-2</v>
      </c>
      <c r="G326">
        <v>-2.8710904212869592E-2</v>
      </c>
      <c r="H326">
        <v>1.9630244283497689E-2</v>
      </c>
      <c r="I326">
        <v>9.1629288912380424E-3</v>
      </c>
      <c r="J326">
        <v>-7.4522017096156912E-4</v>
      </c>
      <c r="K326">
        <v>-1.1486432285193859E-2</v>
      </c>
      <c r="L326" s="11">
        <f t="shared" si="10"/>
        <v>8.3787159996283628E-3</v>
      </c>
      <c r="M326" s="11">
        <f t="shared" si="11"/>
        <v>8.3787159996283611E-3</v>
      </c>
    </row>
    <row r="327" spans="1:13">
      <c r="A327" s="1">
        <v>45768</v>
      </c>
      <c r="B327">
        <v>-1.5812215287857367E-2</v>
      </c>
      <c r="C327">
        <v>-3.150713220680279E-3</v>
      </c>
      <c r="D327">
        <v>-2.354669598832948E-2</v>
      </c>
      <c r="E327">
        <v>1.529237885742174E-2</v>
      </c>
      <c r="F327">
        <v>6.4562536801042736E-3</v>
      </c>
      <c r="G327">
        <v>-4.5127519880537426E-2</v>
      </c>
      <c r="H327">
        <v>-7.7709947588210371E-3</v>
      </c>
      <c r="I327">
        <v>-1.006137810185237E-2</v>
      </c>
      <c r="J327">
        <v>-5.7463625959195963E-2</v>
      </c>
      <c r="K327">
        <v>-1.6323935694840475E-2</v>
      </c>
      <c r="L327" s="11">
        <f t="shared" si="10"/>
        <v>-1.5750844635458838E-2</v>
      </c>
      <c r="M327" s="11">
        <f t="shared" si="11"/>
        <v>-1.5750844635458838E-2</v>
      </c>
    </row>
    <row r="328" spans="1:13">
      <c r="A328" s="1">
        <v>45769</v>
      </c>
      <c r="B328">
        <v>1.9957374216493573E-2</v>
      </c>
      <c r="C328">
        <v>1.5528406765572988E-2</v>
      </c>
      <c r="D328">
        <v>2.1441365970603199E-2</v>
      </c>
      <c r="E328">
        <v>5.3071630109061019E-2</v>
      </c>
      <c r="F328">
        <v>1.6749850609662831E-2</v>
      </c>
      <c r="G328">
        <v>2.0431284782840509E-2</v>
      </c>
      <c r="H328">
        <v>1.2206445531777188E-2</v>
      </c>
      <c r="I328">
        <v>1.3262306203506879E-2</v>
      </c>
      <c r="J328">
        <v>4.6021983387705578E-2</v>
      </c>
      <c r="K328">
        <v>2.8249161000714063E-2</v>
      </c>
      <c r="L328" s="11">
        <f t="shared" si="10"/>
        <v>2.4691980857793786E-2</v>
      </c>
      <c r="M328" s="11">
        <f t="shared" si="11"/>
        <v>2.4691980857793783E-2</v>
      </c>
    </row>
    <row r="329" spans="1:13">
      <c r="A329" s="1">
        <v>45770</v>
      </c>
      <c r="B329">
        <v>6.0607867251921688E-2</v>
      </c>
      <c r="C329">
        <v>-8.1190804003982153E-3</v>
      </c>
      <c r="D329">
        <v>2.0636806409638275E-2</v>
      </c>
      <c r="E329">
        <v>8.8913242823525085E-3</v>
      </c>
      <c r="F329">
        <v>5.7833577447157225E-3</v>
      </c>
      <c r="G329">
        <v>3.8628758542087915E-2</v>
      </c>
      <c r="H329">
        <v>-8.3648458190237474E-3</v>
      </c>
      <c r="I329">
        <v>1.296625984905786E-2</v>
      </c>
      <c r="J329">
        <v>5.3662244009561322E-2</v>
      </c>
      <c r="K329">
        <v>3.0799562061489816E-3</v>
      </c>
      <c r="L329" s="11">
        <f t="shared" si="10"/>
        <v>1.8777264807606234E-2</v>
      </c>
      <c r="M329" s="11">
        <f t="shared" si="11"/>
        <v>1.877726480760623E-2</v>
      </c>
    </row>
    <row r="330" spans="1:13">
      <c r="A330" s="1">
        <v>45771</v>
      </c>
      <c r="B330">
        <v>2.2567729302326534E-2</v>
      </c>
      <c r="C330">
        <v>-1.0641264184071297E-2</v>
      </c>
      <c r="D330">
        <v>3.4482702301761314E-2</v>
      </c>
      <c r="E330">
        <v>4.5046190261468499E-2</v>
      </c>
      <c r="F330">
        <v>1.8992883565234653E-2</v>
      </c>
      <c r="G330">
        <v>3.6218481339714614E-2</v>
      </c>
      <c r="H330">
        <v>-4.8854137546867848E-2</v>
      </c>
      <c r="I330">
        <v>1.2679674101275351E-2</v>
      </c>
      <c r="J330">
        <v>3.4976485922985745E-2</v>
      </c>
      <c r="K330">
        <v>-5.7172621850480332E-2</v>
      </c>
      <c r="L330" s="11">
        <f t="shared" si="10"/>
        <v>8.8296123213347233E-3</v>
      </c>
      <c r="M330" s="11">
        <f t="shared" si="11"/>
        <v>8.8296123213347233E-3</v>
      </c>
    </row>
    <row r="331" spans="1:13">
      <c r="A331" s="1">
        <v>45772</v>
      </c>
      <c r="B331">
        <v>9.5881226260985386E-3</v>
      </c>
      <c r="C331">
        <v>-8.4113184297703869E-3</v>
      </c>
      <c r="D331">
        <v>1.1748063395430997E-2</v>
      </c>
      <c r="E331">
        <v>4.2484835946234867E-3</v>
      </c>
      <c r="F331">
        <v>-1.4705914219440008E-2</v>
      </c>
      <c r="G331">
        <v>4.3033046613145221E-2</v>
      </c>
      <c r="H331">
        <v>-1.4263465106203577E-2</v>
      </c>
      <c r="I331">
        <v>-5.9625140370600516E-4</v>
      </c>
      <c r="J331">
        <v>9.8030910115498138E-2</v>
      </c>
      <c r="K331">
        <v>-1.5860091301841073E-2</v>
      </c>
      <c r="L331" s="11">
        <f t="shared" si="10"/>
        <v>1.1281158588383534E-2</v>
      </c>
      <c r="M331" s="11">
        <f t="shared" si="11"/>
        <v>1.1281158588383532E-2</v>
      </c>
    </row>
    <row r="332" spans="1:13">
      <c r="A332" s="1">
        <v>45775</v>
      </c>
      <c r="B332">
        <v>2.4445103557828363E-2</v>
      </c>
      <c r="C332">
        <v>-1.6687953120710919E-3</v>
      </c>
      <c r="D332">
        <v>-1.7609177838883161E-3</v>
      </c>
      <c r="E332">
        <v>8.0342572154743497E-3</v>
      </c>
      <c r="F332">
        <v>-5.3799998520493997E-3</v>
      </c>
      <c r="G332">
        <v>-2.0538729957529145E-2</v>
      </c>
      <c r="H332">
        <v>2.8488420507182255E-3</v>
      </c>
      <c r="I332">
        <v>1.0739478405124014E-3</v>
      </c>
      <c r="J332">
        <v>3.2637046356933652E-3</v>
      </c>
      <c r="K332">
        <v>3.2099085071233269E-3</v>
      </c>
      <c r="L332" s="11">
        <f t="shared" si="10"/>
        <v>1.3527320901812081E-3</v>
      </c>
      <c r="M332" s="11">
        <f t="shared" si="11"/>
        <v>1.3527320901812079E-3</v>
      </c>
    </row>
    <row r="333" spans="1:13">
      <c r="A333" s="1">
        <v>45776</v>
      </c>
      <c r="B333">
        <v>-1.6456557692531293E-3</v>
      </c>
      <c r="C333">
        <v>7.8004081886460241E-3</v>
      </c>
      <c r="D333">
        <v>7.3627234174533651E-3</v>
      </c>
      <c r="E333">
        <v>1.3743051656653904E-2</v>
      </c>
      <c r="F333">
        <v>4.0132557041900885E-3</v>
      </c>
      <c r="G333">
        <v>2.6671402885078965E-3</v>
      </c>
      <c r="H333">
        <v>4.1118899055117009E-3</v>
      </c>
      <c r="I333">
        <v>1.132291691277354E-2</v>
      </c>
      <c r="J333">
        <v>2.1512501019457675E-2</v>
      </c>
      <c r="K333">
        <v>-2.012230898572942E-3</v>
      </c>
      <c r="L333" s="11">
        <f t="shared" si="10"/>
        <v>6.8876000425368133E-3</v>
      </c>
      <c r="M333" s="11">
        <f t="shared" si="11"/>
        <v>6.8876000425368124E-3</v>
      </c>
    </row>
    <row r="334" spans="1:13">
      <c r="A334" s="1">
        <v>45777</v>
      </c>
      <c r="B334">
        <v>6.8132169954067123E-3</v>
      </c>
      <c r="C334">
        <v>2.7644112059008741E-3</v>
      </c>
      <c r="D334">
        <v>3.0961553949715448E-3</v>
      </c>
      <c r="E334">
        <v>5.4013325535420265E-3</v>
      </c>
      <c r="F334">
        <v>-1.9812286112018351E-2</v>
      </c>
      <c r="G334">
        <v>-9.1724261445469413E-4</v>
      </c>
      <c r="H334">
        <v>9.4558086124529872E-3</v>
      </c>
      <c r="I334">
        <v>-5.6570376285585033E-2</v>
      </c>
      <c r="J334">
        <v>-3.379788089731961E-2</v>
      </c>
      <c r="K334">
        <v>1.7352583022021806E-2</v>
      </c>
      <c r="L334" s="11">
        <f t="shared" si="10"/>
        <v>-6.6214278125081736E-3</v>
      </c>
      <c r="M334" s="11">
        <f t="shared" si="11"/>
        <v>-6.6214278125081736E-3</v>
      </c>
    </row>
    <row r="335" spans="1:13">
      <c r="A335" s="1">
        <v>45778</v>
      </c>
      <c r="B335">
        <v>-1.9100965565570505E-3</v>
      </c>
      <c r="C335">
        <v>-1.7367355281747154E-2</v>
      </c>
      <c r="D335">
        <v>7.6253547879177264E-2</v>
      </c>
      <c r="E335">
        <v>1.5463189174904635E-3</v>
      </c>
      <c r="F335">
        <v>6.3829225162717051E-3</v>
      </c>
      <c r="G335">
        <v>2.4697011377147859E-2</v>
      </c>
      <c r="H335">
        <v>-1.497269179630023E-2</v>
      </c>
      <c r="I335">
        <v>2.4484675350702645E-2</v>
      </c>
      <c r="J335">
        <v>-5.8123569150569931E-3</v>
      </c>
      <c r="K335">
        <v>-4.678426778054634E-3</v>
      </c>
      <c r="L335" s="11">
        <f t="shared" si="10"/>
        <v>8.8623548713073885E-3</v>
      </c>
      <c r="M335" s="11">
        <f t="shared" si="11"/>
        <v>8.8623548713073867E-3</v>
      </c>
    </row>
    <row r="336" spans="1:13">
      <c r="A336" s="1">
        <v>45779</v>
      </c>
      <c r="B336">
        <v>1.405220259607276E-2</v>
      </c>
      <c r="C336">
        <v>5.0498186331231487E-3</v>
      </c>
      <c r="D336">
        <v>2.3225230654989382E-2</v>
      </c>
      <c r="E336">
        <v>2.0309333397663831E-2</v>
      </c>
      <c r="F336">
        <v>3.2241048411669526E-2</v>
      </c>
      <c r="G336">
        <v>2.589375256786508E-2</v>
      </c>
      <c r="H336">
        <v>1.4975731575801454E-3</v>
      </c>
      <c r="I336">
        <v>3.2679003165707821E-2</v>
      </c>
      <c r="J336">
        <v>2.3848576584255321E-2</v>
      </c>
      <c r="K336">
        <v>1.8638307761831285E-2</v>
      </c>
      <c r="L336" s="11">
        <f t="shared" si="10"/>
        <v>1.9743484693075831E-2</v>
      </c>
      <c r="M336" s="11">
        <f t="shared" si="11"/>
        <v>1.9743484693075831E-2</v>
      </c>
    </row>
    <row r="337" spans="1:13">
      <c r="A337" s="1">
        <v>45782</v>
      </c>
      <c r="B337">
        <v>5.3919980793639688E-3</v>
      </c>
      <c r="C337">
        <v>6.9780100992877792E-4</v>
      </c>
      <c r="D337">
        <v>2.0446553860133942E-3</v>
      </c>
      <c r="E337">
        <v>-1.9394834222537849E-2</v>
      </c>
      <c r="F337">
        <v>-2.1164046478804543E-2</v>
      </c>
      <c r="G337">
        <v>-5.9388798418235078E-3</v>
      </c>
      <c r="H337">
        <v>-1.315893731535589E-2</v>
      </c>
      <c r="I337">
        <v>-3.5777553416350028E-2</v>
      </c>
      <c r="J337">
        <v>-2.4198258752220481E-2</v>
      </c>
      <c r="K337">
        <v>-8.9082761436113378E-3</v>
      </c>
      <c r="L337" s="11">
        <f t="shared" si="10"/>
        <v>-1.2040633169539751E-2</v>
      </c>
      <c r="M337" s="11">
        <f t="shared" si="11"/>
        <v>-1.2040633169539749E-2</v>
      </c>
    </row>
    <row r="338" spans="1:13">
      <c r="A338" s="1">
        <v>45783</v>
      </c>
      <c r="B338">
        <v>-2.6815401801807415E-3</v>
      </c>
      <c r="C338">
        <v>2.7894720203458512E-4</v>
      </c>
      <c r="D338">
        <v>-6.5570941386886572E-3</v>
      </c>
      <c r="E338">
        <v>3.2007853420048527E-3</v>
      </c>
      <c r="F338">
        <v>-5.4053952712035391E-3</v>
      </c>
      <c r="G338">
        <v>-2.4599836206642411E-3</v>
      </c>
      <c r="H338">
        <v>-9.4703112229722608E-3</v>
      </c>
      <c r="I338">
        <v>1.3715365934871881E-2</v>
      </c>
      <c r="J338">
        <v>-1.7519458684869482E-2</v>
      </c>
      <c r="K338">
        <v>-5.6258816883378859E-3</v>
      </c>
      <c r="L338" s="11">
        <f t="shared" si="10"/>
        <v>-3.2524566328005493E-3</v>
      </c>
      <c r="M338" s="11">
        <f t="shared" si="11"/>
        <v>-3.2524566328005489E-3</v>
      </c>
    </row>
    <row r="339" spans="1:13">
      <c r="A339" s="1">
        <v>45784</v>
      </c>
      <c r="B339">
        <v>-2.1510493699296029E-3</v>
      </c>
      <c r="C339">
        <v>9.4813457468621021E-3</v>
      </c>
      <c r="D339">
        <v>9.2360776009270396E-5</v>
      </c>
      <c r="E339">
        <v>1.5575502716959067E-2</v>
      </c>
      <c r="F339">
        <v>2.769984879473375E-2</v>
      </c>
      <c r="G339">
        <v>3.1002261828294131E-2</v>
      </c>
      <c r="H339">
        <v>9.0254098348103717E-3</v>
      </c>
      <c r="I339">
        <v>-8.4562408793387167E-4</v>
      </c>
      <c r="J339">
        <v>3.1595972322620014E-3</v>
      </c>
      <c r="K339">
        <v>-4.974745079523335E-3</v>
      </c>
      <c r="L339" s="11">
        <f t="shared" si="10"/>
        <v>8.8064908392543866E-3</v>
      </c>
      <c r="M339" s="11">
        <f t="shared" si="11"/>
        <v>8.8064908392543884E-3</v>
      </c>
    </row>
    <row r="340" spans="1:13">
      <c r="A340" s="1">
        <v>45785</v>
      </c>
      <c r="B340">
        <v>3.3089024953830259E-2</v>
      </c>
      <c r="C340">
        <v>-1.6989015154812548E-2</v>
      </c>
      <c r="D340">
        <v>1.1122625157399701E-2</v>
      </c>
      <c r="E340">
        <v>-9.5031029192554906E-3</v>
      </c>
      <c r="F340">
        <v>4.9471246573877803E-3</v>
      </c>
      <c r="G340">
        <v>2.6482472585649397E-3</v>
      </c>
      <c r="H340">
        <v>-3.7143600522685505E-3</v>
      </c>
      <c r="I340">
        <v>-6.2870291068051198E-3</v>
      </c>
      <c r="J340">
        <v>3.1134624811776312E-2</v>
      </c>
      <c r="K340">
        <v>1.0293511310881076E-2</v>
      </c>
      <c r="L340" s="11">
        <f t="shared" si="10"/>
        <v>5.6741650916698359E-3</v>
      </c>
      <c r="M340" s="11">
        <f t="shared" si="11"/>
        <v>5.6741650916698359E-3</v>
      </c>
    </row>
    <row r="341" spans="1:13">
      <c r="A341" s="1">
        <v>45786</v>
      </c>
      <c r="B341">
        <v>1.6431972902553049E-2</v>
      </c>
      <c r="C341">
        <v>-9.1330269449936274E-3</v>
      </c>
      <c r="D341">
        <v>1.2780808677645972E-3</v>
      </c>
      <c r="E341">
        <v>-3.6787595660899841E-3</v>
      </c>
      <c r="F341">
        <v>-1.035483258438985E-2</v>
      </c>
      <c r="G341">
        <v>-6.1344927368160995E-3</v>
      </c>
      <c r="H341">
        <v>-7.5324730504814363E-3</v>
      </c>
      <c r="I341">
        <v>-2.2995468380038964E-2</v>
      </c>
      <c r="J341">
        <v>4.7187704851463952E-2</v>
      </c>
      <c r="K341">
        <v>-3.2345657157617502E-4</v>
      </c>
      <c r="L341" s="11">
        <f t="shared" si="10"/>
        <v>4.745248787395472E-4</v>
      </c>
      <c r="M341" s="11">
        <f t="shared" si="11"/>
        <v>4.7452487873954617E-4</v>
      </c>
    </row>
    <row r="342" spans="1:13">
      <c r="A342" s="1">
        <v>45789</v>
      </c>
      <c r="B342">
        <v>1.8886284631810524E-2</v>
      </c>
      <c r="C342">
        <v>-1.4038550254512394E-2</v>
      </c>
      <c r="D342">
        <v>2.4001040839064069E-2</v>
      </c>
      <c r="E342">
        <v>-2.6503632175890357E-2</v>
      </c>
      <c r="F342">
        <v>7.3413427654934749E-2</v>
      </c>
      <c r="G342">
        <v>5.443638732858469E-2</v>
      </c>
      <c r="H342">
        <v>9.5062108734496054E-3</v>
      </c>
      <c r="I342">
        <v>6.6874196586998114E-2</v>
      </c>
      <c r="J342">
        <v>6.745790403814933E-2</v>
      </c>
      <c r="K342">
        <v>-5.2092664687640733E-3</v>
      </c>
      <c r="L342" s="11">
        <f t="shared" si="10"/>
        <v>2.6882400305382425E-2</v>
      </c>
      <c r="M342" s="11">
        <f t="shared" si="11"/>
        <v>2.6882400305382425E-2</v>
      </c>
    </row>
    <row r="343" spans="1:13">
      <c r="A343" s="1">
        <v>45790</v>
      </c>
      <c r="B343">
        <v>2.4631035207355101E-2</v>
      </c>
      <c r="C343">
        <v>-8.1979450546273425E-3</v>
      </c>
      <c r="D343">
        <v>-2.6704095954988016E-4</v>
      </c>
      <c r="E343">
        <v>2.5621568834459429E-2</v>
      </c>
      <c r="F343">
        <v>-3.0361417393850454E-3</v>
      </c>
      <c r="G343">
        <v>5.6341406723528387E-2</v>
      </c>
      <c r="H343">
        <v>-1.04040279672859E-2</v>
      </c>
      <c r="I343">
        <v>1.4123925681504446E-2</v>
      </c>
      <c r="J343">
        <v>4.9280740626852948E-2</v>
      </c>
      <c r="K343">
        <v>-1.0570457654602627E-2</v>
      </c>
      <c r="L343" s="11">
        <f t="shared" si="10"/>
        <v>1.3752306369824954E-2</v>
      </c>
      <c r="M343" s="11">
        <f t="shared" si="11"/>
        <v>1.3752306369824951E-2</v>
      </c>
    </row>
    <row r="344" spans="1:13">
      <c r="A344" s="1">
        <v>45791</v>
      </c>
      <c r="B344">
        <v>6.3907337698347888E-3</v>
      </c>
      <c r="C344">
        <v>2.9003066659247789E-3</v>
      </c>
      <c r="D344">
        <v>8.4605299047657567E-3</v>
      </c>
      <c r="E344">
        <v>1.102390066586878E-2</v>
      </c>
      <c r="F344">
        <v>-1.0578628638021725E-2</v>
      </c>
      <c r="G344">
        <v>4.163778946059371E-2</v>
      </c>
      <c r="H344">
        <v>-1.4273602226127058E-2</v>
      </c>
      <c r="I344">
        <v>-3.9133602625192054E-3</v>
      </c>
      <c r="J344">
        <v>4.0739919936465308E-2</v>
      </c>
      <c r="K344">
        <v>-2.7612548908323431E-3</v>
      </c>
      <c r="L344" s="11">
        <f t="shared" si="10"/>
        <v>7.9626334385952801E-3</v>
      </c>
      <c r="M344" s="11">
        <f t="shared" si="11"/>
        <v>7.9626334385952784E-3</v>
      </c>
    </row>
    <row r="345" spans="1:13">
      <c r="A345" s="1">
        <v>45792</v>
      </c>
      <c r="B345">
        <v>7.4247961283584463E-3</v>
      </c>
      <c r="C345">
        <v>3.5425066018083706E-2</v>
      </c>
      <c r="D345">
        <v>2.2561313934634786E-3</v>
      </c>
      <c r="E345">
        <v>2.3449370075654841E-2</v>
      </c>
      <c r="F345">
        <v>1.0853782177123517E-2</v>
      </c>
      <c r="G345">
        <v>-3.7682830110108423E-3</v>
      </c>
      <c r="H345">
        <v>2.3744665300026613E-2</v>
      </c>
      <c r="I345">
        <v>8.3198408477089814E-3</v>
      </c>
      <c r="J345">
        <v>-1.3978329078299989E-2</v>
      </c>
      <c r="K345">
        <v>2.188755228769157E-2</v>
      </c>
      <c r="L345" s="11">
        <f t="shared" si="10"/>
        <v>1.1561459213880033E-2</v>
      </c>
      <c r="M345" s="11">
        <f t="shared" si="11"/>
        <v>1.1561459213880031E-2</v>
      </c>
    </row>
    <row r="346" spans="1:13">
      <c r="A346" s="1">
        <v>45793</v>
      </c>
      <c r="B346">
        <v>-2.0364534414246682E-3</v>
      </c>
      <c r="C346">
        <v>5.4461457442971373E-3</v>
      </c>
      <c r="D346">
        <v>2.5157992597595324E-3</v>
      </c>
      <c r="E346">
        <v>1.1502783623477342E-2</v>
      </c>
      <c r="F346">
        <v>1.1378173609071673E-2</v>
      </c>
      <c r="G346">
        <v>4.2275543100855906E-3</v>
      </c>
      <c r="H346">
        <v>3.6502065998575972E-3</v>
      </c>
      <c r="I346">
        <v>-1.2463956284318733E-2</v>
      </c>
      <c r="J346">
        <v>2.08856061756586E-2</v>
      </c>
      <c r="K346">
        <v>6.1933016289177356E-3</v>
      </c>
      <c r="L346" s="11">
        <f t="shared" si="10"/>
        <v>5.129916122538181E-3</v>
      </c>
      <c r="M346" s="11">
        <f t="shared" si="11"/>
        <v>5.129916122538181E-3</v>
      </c>
    </row>
    <row r="347" spans="1:13">
      <c r="A347" s="1">
        <v>45796</v>
      </c>
      <c r="B347">
        <v>-2.7694456512195043E-3</v>
      </c>
      <c r="C347">
        <v>-9.7219386805014185E-4</v>
      </c>
      <c r="D347">
        <v>1.0126150119455835E-2</v>
      </c>
      <c r="E347">
        <v>9.2305983782070555E-5</v>
      </c>
      <c r="F347">
        <v>-1.6320661741757503E-2</v>
      </c>
      <c r="G347">
        <v>1.2556128407286149E-3</v>
      </c>
      <c r="H347">
        <v>-1.4396477614214698E-3</v>
      </c>
      <c r="I347">
        <v>-1.1218874464139605E-2</v>
      </c>
      <c r="J347">
        <v>-2.2544186527116317E-2</v>
      </c>
      <c r="K347">
        <v>6.3797048998848194E-3</v>
      </c>
      <c r="L347" s="11">
        <f t="shared" si="10"/>
        <v>-3.7411236169853203E-3</v>
      </c>
      <c r="M347" s="11">
        <f t="shared" si="11"/>
        <v>-3.7411236169853203E-3</v>
      </c>
    </row>
    <row r="348" spans="1:13">
      <c r="A348" s="1">
        <v>45797</v>
      </c>
      <c r="B348">
        <v>1.1790490469890447E-2</v>
      </c>
      <c r="C348">
        <v>-3.3365561250187081E-3</v>
      </c>
      <c r="D348">
        <v>-1.5254466339083006E-3</v>
      </c>
      <c r="E348">
        <v>3.1889234848514469E-4</v>
      </c>
      <c r="F348">
        <v>7.7319319796818053E-3</v>
      </c>
      <c r="G348">
        <v>-8.7778175367028144E-3</v>
      </c>
      <c r="H348">
        <v>7.5966424006645994E-5</v>
      </c>
      <c r="I348">
        <v>1.1582504674030103E-2</v>
      </c>
      <c r="J348">
        <v>5.0571808730099921E-3</v>
      </c>
      <c r="K348">
        <v>-3.7589762011471795E-3</v>
      </c>
      <c r="L348" s="11">
        <f t="shared" si="10"/>
        <v>1.9158170272327137E-3</v>
      </c>
      <c r="M348" s="11">
        <f t="shared" si="11"/>
        <v>1.9158170272327135E-3</v>
      </c>
    </row>
    <row r="349" spans="1:13">
      <c r="A349" s="1">
        <v>45798</v>
      </c>
      <c r="B349">
        <v>-2.1476339839179293E-2</v>
      </c>
      <c r="C349">
        <v>2.2317816075827501E-3</v>
      </c>
      <c r="D349">
        <v>-1.2222550449385139E-2</v>
      </c>
      <c r="E349">
        <v>2.1895482532132693E-3</v>
      </c>
      <c r="F349">
        <v>-4.1240436248139223E-2</v>
      </c>
      <c r="G349">
        <v>-1.9199270143614333E-2</v>
      </c>
      <c r="H349">
        <v>-1.2519111595094223E-2</v>
      </c>
      <c r="I349">
        <v>-3.0494135911086184E-2</v>
      </c>
      <c r="J349">
        <v>-2.675822235776848E-2</v>
      </c>
      <c r="K349">
        <v>-6.1073307740424632E-3</v>
      </c>
      <c r="L349" s="11">
        <f t="shared" si="10"/>
        <v>-1.6559606745751333E-2</v>
      </c>
      <c r="M349" s="11">
        <f t="shared" si="11"/>
        <v>-1.6559606745751333E-2</v>
      </c>
    </row>
    <row r="350" spans="1:13">
      <c r="A350" s="1">
        <v>45799</v>
      </c>
      <c r="B350">
        <v>9.8418848301906614E-4</v>
      </c>
      <c r="C350">
        <v>-9.881684779988742E-3</v>
      </c>
      <c r="D350">
        <v>5.0599420869343881E-3</v>
      </c>
      <c r="E350">
        <v>-5.5749764801390489E-3</v>
      </c>
      <c r="F350">
        <v>2.2340784124044166E-2</v>
      </c>
      <c r="G350">
        <v>7.8149413369918985E-3</v>
      </c>
      <c r="H350">
        <v>-2.3041542930379855E-4</v>
      </c>
      <c r="I350">
        <v>1.1930559456729384E-2</v>
      </c>
      <c r="J350">
        <v>1.9185982671136248E-2</v>
      </c>
      <c r="K350">
        <v>-8.8794095703745857E-3</v>
      </c>
      <c r="L350" s="11">
        <f t="shared" si="10"/>
        <v>4.2749911899048979E-3</v>
      </c>
      <c r="M350" s="11">
        <f t="shared" si="11"/>
        <v>4.2749911899048979E-3</v>
      </c>
    </row>
    <row r="351" spans="1:13">
      <c r="A351" s="1">
        <v>45800</v>
      </c>
      <c r="B351">
        <v>-5.1620030129010397E-3</v>
      </c>
      <c r="C351">
        <v>8.8557349664910578E-3</v>
      </c>
      <c r="D351">
        <v>-1.0288864324180524E-2</v>
      </c>
      <c r="E351">
        <v>-2.1717350760668275E-3</v>
      </c>
      <c r="F351">
        <v>-2.1200235537994216E-2</v>
      </c>
      <c r="G351">
        <v>-1.1593830945515804E-2</v>
      </c>
      <c r="H351">
        <v>-5.9944936514991776E-3</v>
      </c>
      <c r="I351">
        <v>5.1208800634123808E-3</v>
      </c>
      <c r="J351">
        <v>-4.9847881903483104E-3</v>
      </c>
      <c r="K351">
        <v>3.0836603460642209E-3</v>
      </c>
      <c r="L351" s="11">
        <f t="shared" si="10"/>
        <v>-4.4335675362538237E-3</v>
      </c>
      <c r="M351" s="11">
        <f t="shared" si="11"/>
        <v>-4.4335675362538237E-3</v>
      </c>
    </row>
    <row r="352" spans="1:13">
      <c r="A352" s="1">
        <v>45804</v>
      </c>
      <c r="B352">
        <v>-6.5724541759413224E-3</v>
      </c>
      <c r="C352">
        <v>1.3939110070282368E-4</v>
      </c>
      <c r="D352">
        <v>2.3346239141272207E-2</v>
      </c>
      <c r="E352">
        <v>2.2085500398275837E-2</v>
      </c>
      <c r="F352">
        <v>4.6817750363851607E-2</v>
      </c>
      <c r="G352">
        <v>3.2066371101294733E-2</v>
      </c>
      <c r="H352">
        <v>1.5694989312030394E-2</v>
      </c>
      <c r="I352">
        <v>3.0924177288684129E-2</v>
      </c>
      <c r="J352">
        <v>6.9399477116448116E-2</v>
      </c>
      <c r="K352">
        <v>1.1746767553810766E-2</v>
      </c>
      <c r="L352" s="11">
        <f t="shared" si="10"/>
        <v>2.4564820920042928E-2</v>
      </c>
      <c r="M352" s="11">
        <f t="shared" si="11"/>
        <v>2.4564820920042928E-2</v>
      </c>
    </row>
    <row r="353" spans="1:13">
      <c r="A353" s="1">
        <v>45805</v>
      </c>
      <c r="B353">
        <v>2.3379655949757883E-3</v>
      </c>
      <c r="C353">
        <v>-8.7767759264236744E-3</v>
      </c>
      <c r="D353">
        <v>-7.2283250606628435E-3</v>
      </c>
      <c r="E353">
        <v>-2.4925490023829378E-3</v>
      </c>
      <c r="F353">
        <v>-1.671181865731719E-2</v>
      </c>
      <c r="G353">
        <v>-5.0921723054343504E-3</v>
      </c>
      <c r="H353">
        <v>-5.3284274428159195E-3</v>
      </c>
      <c r="I353">
        <v>-1.1607885431942022E-2</v>
      </c>
      <c r="J353">
        <v>-1.650643586254652E-2</v>
      </c>
      <c r="K353">
        <v>-5.2453695486012197E-3</v>
      </c>
      <c r="L353" s="11">
        <f t="shared" si="10"/>
        <v>-7.6651793643150896E-3</v>
      </c>
      <c r="M353" s="11">
        <f t="shared" si="11"/>
        <v>-7.6651793643150888E-3</v>
      </c>
    </row>
    <row r="354" spans="1:13">
      <c r="A354" s="1">
        <v>45806</v>
      </c>
      <c r="B354">
        <v>3.3151328415786496E-2</v>
      </c>
      <c r="C354">
        <v>4.7785432619129597E-3</v>
      </c>
      <c r="D354">
        <v>2.8861451952435502E-3</v>
      </c>
      <c r="E354">
        <v>-1.9602054130510527E-2</v>
      </c>
      <c r="F354">
        <v>-5.5034270473787172E-3</v>
      </c>
      <c r="G354">
        <v>3.2490198708553963E-2</v>
      </c>
      <c r="H354">
        <v>9.56609674541542E-3</v>
      </c>
      <c r="I354">
        <v>-2.267438311909542E-2</v>
      </c>
      <c r="J354">
        <v>4.2869117552879477E-3</v>
      </c>
      <c r="K354">
        <v>1.3729401002029018E-2</v>
      </c>
      <c r="L354" s="11">
        <f t="shared" si="10"/>
        <v>5.3108760787244696E-3</v>
      </c>
      <c r="M354" s="11">
        <f t="shared" si="11"/>
        <v>5.3108760787244687E-3</v>
      </c>
    </row>
    <row r="355" spans="1:13">
      <c r="A355" s="1">
        <v>45807</v>
      </c>
      <c r="B355">
        <v>-4.130970226818631E-3</v>
      </c>
      <c r="C355">
        <v>8.5327203331313495E-3</v>
      </c>
      <c r="D355">
        <v>3.6626683147447103E-3</v>
      </c>
      <c r="E355">
        <v>1.8879863776100514E-2</v>
      </c>
      <c r="F355">
        <v>-1.3834612161979232E-2</v>
      </c>
      <c r="G355">
        <v>-2.9168794921521801E-2</v>
      </c>
      <c r="H355">
        <v>-3.5626938582195011E-3</v>
      </c>
      <c r="I355">
        <v>-1.1898405697154946E-3</v>
      </c>
      <c r="J355">
        <v>-3.3395646193957074E-2</v>
      </c>
      <c r="K355">
        <v>4.0281047907249068E-3</v>
      </c>
      <c r="L355" s="11">
        <f t="shared" si="10"/>
        <v>-5.0179200717510248E-3</v>
      </c>
      <c r="M355" s="11">
        <f t="shared" si="11"/>
        <v>-5.0179200717510256E-3</v>
      </c>
    </row>
    <row r="356" spans="1:13">
      <c r="A356" s="1">
        <v>45810</v>
      </c>
      <c r="B356">
        <v>2.0017334313494395E-2</v>
      </c>
      <c r="C356">
        <v>-1.3869981736167603E-3</v>
      </c>
      <c r="D356">
        <v>3.4972975939937534E-3</v>
      </c>
      <c r="E356">
        <v>9.7330253473639772E-3</v>
      </c>
      <c r="F356">
        <v>2.2927414846341865E-2</v>
      </c>
      <c r="G356">
        <v>1.6650659240573296E-2</v>
      </c>
      <c r="H356">
        <v>-4.1079856283300353E-3</v>
      </c>
      <c r="I356">
        <v>1.4770762814066529E-2</v>
      </c>
      <c r="J356">
        <v>-1.0881455598490963E-2</v>
      </c>
      <c r="K356">
        <v>2.4009391405568348E-3</v>
      </c>
      <c r="L356" s="11">
        <f t="shared" si="10"/>
        <v>7.3620993895952887E-3</v>
      </c>
      <c r="M356" s="11">
        <f t="shared" si="11"/>
        <v>7.3620993895952887E-3</v>
      </c>
    </row>
    <row r="357" spans="1:13">
      <c r="A357" s="1">
        <v>45811</v>
      </c>
      <c r="B357">
        <v>9.2684136934979566E-3</v>
      </c>
      <c r="C357">
        <v>-1.1666539851037494E-2</v>
      </c>
      <c r="D357">
        <v>2.1646427199983886E-3</v>
      </c>
      <c r="E357">
        <v>-8.5320438330749315E-4</v>
      </c>
      <c r="F357">
        <v>1.2993328585768182E-2</v>
      </c>
      <c r="G357">
        <v>2.7951580362844952E-2</v>
      </c>
      <c r="H357">
        <v>7.1804787135114623E-3</v>
      </c>
      <c r="I357">
        <v>1.655119136408878E-2</v>
      </c>
      <c r="J357">
        <v>4.6105417753912192E-3</v>
      </c>
      <c r="K357">
        <v>-1.112471408276039E-2</v>
      </c>
      <c r="L357" s="11">
        <f t="shared" si="10"/>
        <v>5.7075718897995568E-3</v>
      </c>
      <c r="M357" s="11">
        <f t="shared" si="11"/>
        <v>5.7075718897995568E-3</v>
      </c>
    </row>
    <row r="358" spans="1:13">
      <c r="A358" s="1">
        <v>45812</v>
      </c>
      <c r="B358">
        <v>-6.7937824954370507E-3</v>
      </c>
      <c r="C358">
        <v>2.9510096761378168E-3</v>
      </c>
      <c r="D358">
        <v>1.9439572631292368E-3</v>
      </c>
      <c r="E358">
        <v>1.7833467837791384E-2</v>
      </c>
      <c r="F358">
        <v>6.4133643214543401E-3</v>
      </c>
      <c r="G358">
        <v>4.9568035619138584E-3</v>
      </c>
      <c r="H358">
        <v>-8.3431436347702892E-4</v>
      </c>
      <c r="I358">
        <v>1.7436514582406692E-2</v>
      </c>
      <c r="J358">
        <v>-3.5495400733921545E-2</v>
      </c>
      <c r="K358">
        <v>-1.3863300294862935E-2</v>
      </c>
      <c r="L358" s="11">
        <f t="shared" si="10"/>
        <v>-5.4516806448652328E-4</v>
      </c>
      <c r="M358" s="11">
        <f t="shared" si="11"/>
        <v>-5.4516806448652306E-4</v>
      </c>
    </row>
    <row r="359" spans="1:13">
      <c r="A359" s="1">
        <v>45813</v>
      </c>
      <c r="B359">
        <v>-1.3963541441351479E-2</v>
      </c>
      <c r="C359">
        <v>-6.4452353091717374E-3</v>
      </c>
      <c r="D359">
        <v>8.2135029182723862E-3</v>
      </c>
      <c r="E359">
        <v>8.7604545215143048E-3</v>
      </c>
      <c r="F359">
        <v>-1.5931541833521523E-3</v>
      </c>
      <c r="G359">
        <v>-1.3599136278770518E-2</v>
      </c>
      <c r="H359">
        <v>-4.7821974853221594E-3</v>
      </c>
      <c r="I359">
        <v>-1.2711414582040281E-2</v>
      </c>
      <c r="J359">
        <v>-0.14259893789082001</v>
      </c>
      <c r="K359">
        <v>-5.6878351237096281E-3</v>
      </c>
      <c r="L359" s="11">
        <f t="shared" si="10"/>
        <v>-1.8440749485475128E-2</v>
      </c>
      <c r="M359" s="11">
        <f t="shared" si="11"/>
        <v>-1.8440749485475128E-2</v>
      </c>
    </row>
    <row r="360" spans="1:13">
      <c r="A360" s="1">
        <v>45814</v>
      </c>
      <c r="B360">
        <v>8.5159254756148606E-3</v>
      </c>
      <c r="C360">
        <v>6.204990952138445E-3</v>
      </c>
      <c r="D360">
        <v>5.7732044331919585E-3</v>
      </c>
      <c r="E360">
        <v>-7.237028345633667E-3</v>
      </c>
      <c r="F360">
        <v>2.0743748510210214E-3</v>
      </c>
      <c r="G360">
        <v>1.2357980620348652E-2</v>
      </c>
      <c r="H360">
        <v>2.6448474303426561E-3</v>
      </c>
      <c r="I360">
        <v>3.0463289929365533E-2</v>
      </c>
      <c r="J360">
        <v>3.6670186138994865E-2</v>
      </c>
      <c r="K360">
        <v>5.1028377508537393E-3</v>
      </c>
      <c r="L360" s="11">
        <f t="shared" si="10"/>
        <v>1.0257060923623808E-2</v>
      </c>
      <c r="M360" s="11">
        <f t="shared" si="11"/>
        <v>1.0257060923623806E-2</v>
      </c>
    </row>
    <row r="361" spans="1:13">
      <c r="A361" s="1">
        <v>45817</v>
      </c>
      <c r="B361">
        <v>3.1831078548089531E-2</v>
      </c>
      <c r="C361">
        <v>5.8864109315959201E-3</v>
      </c>
      <c r="D361">
        <v>5.0384690943197086E-3</v>
      </c>
      <c r="E361">
        <v>-1.3701507218886855E-2</v>
      </c>
      <c r="F361">
        <v>-1.4171964975489559E-2</v>
      </c>
      <c r="G361">
        <v>6.4211530876581158E-3</v>
      </c>
      <c r="H361">
        <v>-5.3827629074887362E-4</v>
      </c>
      <c r="I361">
        <v>1.1490392529117432E-2</v>
      </c>
      <c r="J361">
        <v>4.553761352840402E-2</v>
      </c>
      <c r="K361">
        <v>-2.6096157805547082E-2</v>
      </c>
      <c r="L361" s="11">
        <f t="shared" si="10"/>
        <v>5.1697211428512347E-3</v>
      </c>
      <c r="M361" s="11">
        <f t="shared" si="11"/>
        <v>5.1697211428512356E-3</v>
      </c>
    </row>
    <row r="362" spans="1:13">
      <c r="A362" s="1">
        <v>45818</v>
      </c>
      <c r="B362">
        <v>-8.183526386140616E-3</v>
      </c>
      <c r="C362">
        <v>8.0813650050182151E-3</v>
      </c>
      <c r="D362">
        <v>-3.8709393384791513E-3</v>
      </c>
      <c r="E362">
        <v>-1.7019720109397452E-2</v>
      </c>
      <c r="F362">
        <v>3.1658844924945084E-2</v>
      </c>
      <c r="G362">
        <v>9.3248445368925292E-3</v>
      </c>
      <c r="H362">
        <v>1.4389004467383559E-2</v>
      </c>
      <c r="I362">
        <v>8.3820685075375323E-3</v>
      </c>
      <c r="J362">
        <v>5.6743828270030772E-2</v>
      </c>
      <c r="K362">
        <v>-1.4410521803099985E-2</v>
      </c>
      <c r="L362" s="11">
        <f t="shared" si="10"/>
        <v>8.5095248074690509E-3</v>
      </c>
      <c r="M362" s="11">
        <f t="shared" si="11"/>
        <v>8.5095248074690492E-3</v>
      </c>
    </row>
    <row r="363" spans="1:13">
      <c r="A363" s="1">
        <v>45819</v>
      </c>
      <c r="B363">
        <v>-8.0192637176146331E-3</v>
      </c>
      <c r="C363">
        <v>-3.8700694872937369E-3</v>
      </c>
      <c r="D363">
        <v>3.6099159963052241E-3</v>
      </c>
      <c r="E363">
        <v>1.3509255272921017E-2</v>
      </c>
      <c r="F363">
        <v>-1.1899144109016158E-2</v>
      </c>
      <c r="G363">
        <v>-7.7805507537309637E-3</v>
      </c>
      <c r="H363">
        <v>-1.4640126737185288E-2</v>
      </c>
      <c r="I363">
        <v>4.3311813094771834E-2</v>
      </c>
      <c r="J363">
        <v>1.0426457165484404E-3</v>
      </c>
      <c r="K363">
        <v>-2.9309678793897342E-3</v>
      </c>
      <c r="L363" s="11">
        <f t="shared" si="10"/>
        <v>1.2333507396316001E-3</v>
      </c>
      <c r="M363" s="11">
        <f t="shared" si="11"/>
        <v>1.2333507396316001E-3</v>
      </c>
    </row>
    <row r="364" spans="1:13">
      <c r="A364" s="1">
        <v>45820</v>
      </c>
      <c r="B364">
        <v>-4.7897196261682207E-2</v>
      </c>
      <c r="C364">
        <v>2.3588252421273825E-3</v>
      </c>
      <c r="D364">
        <v>1.3224154848654468E-2</v>
      </c>
      <c r="E364">
        <v>-3.9757808690420449E-3</v>
      </c>
      <c r="F364">
        <v>-4.9120800236556184E-3</v>
      </c>
      <c r="G364">
        <v>1.5192873633879556E-2</v>
      </c>
      <c r="H364">
        <v>1.8475821924868852E-2</v>
      </c>
      <c r="I364">
        <v>-1.1217105584134246E-2</v>
      </c>
      <c r="J364">
        <v>-2.242443246166248E-2</v>
      </c>
      <c r="K364">
        <v>1.7400966167587573E-2</v>
      </c>
      <c r="L364" s="11">
        <f t="shared" si="10"/>
        <v>-2.3773953383058768E-3</v>
      </c>
      <c r="M364" s="11">
        <f t="shared" si="11"/>
        <v>-2.3773953383058764E-3</v>
      </c>
    </row>
    <row r="365" spans="1:13">
      <c r="A365" s="1">
        <v>45821</v>
      </c>
      <c r="B365">
        <v>-1.6834319881138593E-2</v>
      </c>
      <c r="C365">
        <v>-9.8982172976767036E-3</v>
      </c>
      <c r="D365">
        <v>-8.1650629648494233E-3</v>
      </c>
      <c r="E365">
        <v>-2.3703158056732621E-3</v>
      </c>
      <c r="F365">
        <v>-3.6146504543651203E-2</v>
      </c>
      <c r="G365">
        <v>-2.0896543305496507E-2</v>
      </c>
      <c r="H365">
        <v>-1.0959916211602305E-2</v>
      </c>
      <c r="I365">
        <v>-1.1238311726287864E-2</v>
      </c>
      <c r="J365">
        <v>1.9429076154418912E-2</v>
      </c>
      <c r="K365">
        <v>-1.5874618187467604E-2</v>
      </c>
      <c r="L365" s="11">
        <f t="shared" si="10"/>
        <v>-1.1295473376942457E-2</v>
      </c>
      <c r="M365" s="11">
        <f t="shared" si="11"/>
        <v>-1.1295473376942455E-2</v>
      </c>
    </row>
    <row r="366" spans="1:13">
      <c r="A366" s="1">
        <v>45824</v>
      </c>
      <c r="B366">
        <v>6.8889255869009069E-3</v>
      </c>
      <c r="C366">
        <v>-7.0402706791569125E-3</v>
      </c>
      <c r="D366">
        <v>8.8007901056110782E-3</v>
      </c>
      <c r="E366">
        <v>1.0889700867061203E-2</v>
      </c>
      <c r="F366">
        <v>2.2633450755176421E-2</v>
      </c>
      <c r="G366">
        <v>1.9158985682296015E-2</v>
      </c>
      <c r="H366">
        <v>4.27969073345702E-3</v>
      </c>
      <c r="I366">
        <v>2.3590093894896302E-3</v>
      </c>
      <c r="J366">
        <v>1.1742668079332441E-2</v>
      </c>
      <c r="K366">
        <v>5.0619767802304594E-3</v>
      </c>
      <c r="L366" s="11">
        <f t="shared" si="10"/>
        <v>8.4774927300398251E-3</v>
      </c>
      <c r="M366" s="11">
        <f t="shared" si="11"/>
        <v>8.4774927300398269E-3</v>
      </c>
    </row>
    <row r="367" spans="1:13">
      <c r="A367" s="1">
        <v>45825</v>
      </c>
      <c r="B367">
        <v>-7.1393280277366467E-3</v>
      </c>
      <c r="C367">
        <v>-1.2762250983074819E-2</v>
      </c>
      <c r="D367">
        <v>-2.2957926073510215E-3</v>
      </c>
      <c r="E367">
        <v>-3.8192612183162167E-3</v>
      </c>
      <c r="F367">
        <v>-3.0694692714741789E-2</v>
      </c>
      <c r="G367">
        <v>-3.9395073232502131E-3</v>
      </c>
      <c r="H367">
        <v>-1.613279291451919E-2</v>
      </c>
      <c r="I367">
        <v>-2.0218302858060477E-2</v>
      </c>
      <c r="J367">
        <v>-3.8829637497946656E-2</v>
      </c>
      <c r="K367">
        <v>-1.3422671179319501E-4</v>
      </c>
      <c r="L367" s="11">
        <f t="shared" si="10"/>
        <v>-1.3596579285679023E-2</v>
      </c>
      <c r="M367" s="11">
        <f t="shared" si="11"/>
        <v>-1.3596579285679023E-2</v>
      </c>
    </row>
    <row r="368" spans="1:13">
      <c r="A368" s="1">
        <v>45826</v>
      </c>
      <c r="B368">
        <v>-1.2883261269469148E-2</v>
      </c>
      <c r="C368">
        <v>-5.8891646931101826E-3</v>
      </c>
      <c r="D368">
        <v>4.6020869595211344E-3</v>
      </c>
      <c r="E368">
        <v>1.3271359653868053E-3</v>
      </c>
      <c r="F368">
        <v>-8.1666946411133035E-3</v>
      </c>
      <c r="G368">
        <v>9.436585181994861E-3</v>
      </c>
      <c r="H368">
        <v>-1.7014925619736054E-3</v>
      </c>
      <c r="I368">
        <v>7.5336004912662791E-3</v>
      </c>
      <c r="J368">
        <v>1.8017959789726978E-2</v>
      </c>
      <c r="K368">
        <v>-9.7394243984627593E-4</v>
      </c>
      <c r="L368" s="11">
        <f t="shared" si="10"/>
        <v>1.1302812782383541E-3</v>
      </c>
      <c r="M368" s="11">
        <f t="shared" si="11"/>
        <v>1.1302812782383541E-3</v>
      </c>
    </row>
    <row r="369" spans="1:13">
      <c r="A369" s="1">
        <v>45828</v>
      </c>
      <c r="B369">
        <v>5.4128255962349048E-3</v>
      </c>
      <c r="C369">
        <v>-5.3460880143980649E-3</v>
      </c>
      <c r="D369">
        <v>-5.9137023064342875E-3</v>
      </c>
      <c r="E369">
        <v>7.4614001797601581E-3</v>
      </c>
      <c r="F369">
        <v>4.7051353031677401E-3</v>
      </c>
      <c r="G369">
        <v>-1.120421825607365E-2</v>
      </c>
      <c r="H369">
        <v>0</v>
      </c>
      <c r="I369">
        <v>9.1027739314801792E-3</v>
      </c>
      <c r="J369">
        <v>3.4161115761843774E-4</v>
      </c>
      <c r="K369">
        <v>5.0420690303722981E-3</v>
      </c>
      <c r="L369" s="11">
        <f t="shared" si="10"/>
        <v>9.6018066217277141E-4</v>
      </c>
      <c r="M369" s="11">
        <f t="shared" si="11"/>
        <v>9.6018066217277152E-4</v>
      </c>
    </row>
    <row r="370" spans="1:13">
      <c r="A370" s="1">
        <v>45831</v>
      </c>
      <c r="B370">
        <v>1.2880490860845306E-2</v>
      </c>
      <c r="C370">
        <v>1.3073817166714852E-2</v>
      </c>
      <c r="D370">
        <v>1.8014256835916065E-2</v>
      </c>
      <c r="E370">
        <v>1.7971272174635233E-2</v>
      </c>
      <c r="F370">
        <v>1.6557916852488308E-2</v>
      </c>
      <c r="G370">
        <v>2.2244841977951957E-3</v>
      </c>
      <c r="H370">
        <v>1.5486954782439888E-4</v>
      </c>
      <c r="I370">
        <v>-8.3763572345904036E-3</v>
      </c>
      <c r="J370">
        <v>8.2319309387291373E-2</v>
      </c>
      <c r="K370">
        <v>1.5685660261078649E-2</v>
      </c>
      <c r="L370" s="11">
        <f t="shared" si="10"/>
        <v>1.70505720049999E-2</v>
      </c>
      <c r="M370" s="11">
        <f t="shared" si="11"/>
        <v>1.7050572004999896E-2</v>
      </c>
    </row>
    <row r="371" spans="1:13">
      <c r="A371" s="1">
        <v>45832</v>
      </c>
      <c r="B371">
        <v>-1.8379371202332795E-3</v>
      </c>
      <c r="C371">
        <v>6.7393351749336361E-3</v>
      </c>
      <c r="D371">
        <v>8.4567599826377293E-3</v>
      </c>
      <c r="E371">
        <v>2.0398188723340205E-2</v>
      </c>
      <c r="F371">
        <v>1.0529769702241287E-2</v>
      </c>
      <c r="G371">
        <v>2.5872204861707937E-2</v>
      </c>
      <c r="H371">
        <v>1.5183257955455387E-2</v>
      </c>
      <c r="I371">
        <v>-9.0967768161575036E-3</v>
      </c>
      <c r="J371">
        <v>-2.3545920693855416E-2</v>
      </c>
      <c r="K371">
        <v>-4.3136710220340602E-3</v>
      </c>
      <c r="L371" s="11">
        <f t="shared" si="10"/>
        <v>4.8385210748035931E-3</v>
      </c>
      <c r="M371" s="11">
        <f t="shared" si="11"/>
        <v>4.8385210748035923E-3</v>
      </c>
    </row>
    <row r="372" spans="1:13">
      <c r="A372" s="1">
        <v>45833</v>
      </c>
      <c r="B372">
        <v>-1.015232666535304E-2</v>
      </c>
      <c r="C372">
        <v>-8.2609576786474292E-3</v>
      </c>
      <c r="D372">
        <v>4.4071815034734119E-3</v>
      </c>
      <c r="E372">
        <v>-3.0177118432072048E-3</v>
      </c>
      <c r="F372">
        <v>-9.6059321960222377E-3</v>
      </c>
      <c r="G372">
        <v>4.3340121207817051E-2</v>
      </c>
      <c r="H372">
        <v>-2.3120936350534249E-2</v>
      </c>
      <c r="I372">
        <v>-4.3716013757257866E-3</v>
      </c>
      <c r="J372">
        <v>-3.7947582404946889E-2</v>
      </c>
      <c r="K372">
        <v>-1.1905510286987275E-2</v>
      </c>
      <c r="L372" s="11">
        <f t="shared" si="10"/>
        <v>-6.0635256090133642E-3</v>
      </c>
      <c r="M372" s="11">
        <f t="shared" si="11"/>
        <v>-6.0635256090133651E-3</v>
      </c>
    </row>
    <row r="373" spans="1:13">
      <c r="A373" s="1">
        <v>45834</v>
      </c>
      <c r="B373">
        <v>1.8501800138240432E-2</v>
      </c>
      <c r="C373">
        <v>-2.2978032317378938E-3</v>
      </c>
      <c r="D373">
        <v>1.0522727992699377E-2</v>
      </c>
      <c r="E373">
        <v>2.4638340674620673E-2</v>
      </c>
      <c r="F373">
        <v>2.8111113480185912E-2</v>
      </c>
      <c r="G373">
        <v>4.6011711820381773E-3</v>
      </c>
      <c r="H373">
        <v>1.5622320072523621E-3</v>
      </c>
      <c r="I373">
        <v>8.1229185089362055E-3</v>
      </c>
      <c r="J373">
        <v>-5.4037218123504926E-3</v>
      </c>
      <c r="K373">
        <v>1.0141234727368165E-2</v>
      </c>
      <c r="L373" s="11">
        <f t="shared" si="10"/>
        <v>9.8500013667252931E-3</v>
      </c>
      <c r="M373" s="11">
        <f t="shared" si="11"/>
        <v>9.8500013667252913E-3</v>
      </c>
    </row>
    <row r="374" spans="1:13">
      <c r="A374" s="1">
        <v>45835</v>
      </c>
      <c r="B374">
        <v>5.9087773287146206E-2</v>
      </c>
      <c r="C374">
        <v>1.2379452932774759E-2</v>
      </c>
      <c r="D374">
        <v>-3.0355005097407739E-3</v>
      </c>
      <c r="E374">
        <v>1.2589215807076837E-2</v>
      </c>
      <c r="F374">
        <v>0.15190277999566448</v>
      </c>
      <c r="G374">
        <v>1.7610602840274936E-2</v>
      </c>
      <c r="H374">
        <v>2.1993386668082815E-2</v>
      </c>
      <c r="I374">
        <v>2.9399421083111665E-3</v>
      </c>
      <c r="J374">
        <v>-6.5995269953346147E-3</v>
      </c>
      <c r="K374">
        <v>8.9128311542900907E-3</v>
      </c>
      <c r="L374" s="11">
        <f t="shared" si="10"/>
        <v>2.777809572885459E-2</v>
      </c>
      <c r="M374" s="11">
        <f t="shared" si="11"/>
        <v>2.777809572885459E-2</v>
      </c>
    </row>
    <row r="375" spans="1:13">
      <c r="A375" s="1">
        <v>45838</v>
      </c>
      <c r="B375">
        <v>-2.3397828949226263E-2</v>
      </c>
      <c r="C375">
        <v>5.9718208163042075E-3</v>
      </c>
      <c r="D375">
        <v>2.9640706808615747E-3</v>
      </c>
      <c r="E375">
        <v>1.2100194861171421E-2</v>
      </c>
      <c r="F375">
        <v>-1.3881176947409868E-2</v>
      </c>
      <c r="G375">
        <v>1.5214294336862721E-3</v>
      </c>
      <c r="H375">
        <v>7.6312580222470672E-3</v>
      </c>
      <c r="I375">
        <v>-5.2111969791873713E-3</v>
      </c>
      <c r="J375">
        <v>-1.8446995428822444E-2</v>
      </c>
      <c r="K375">
        <v>9.6185966035013948E-3</v>
      </c>
      <c r="L375" s="11">
        <f t="shared" si="10"/>
        <v>-2.1129827886874012E-3</v>
      </c>
      <c r="M375" s="11">
        <f t="shared" si="11"/>
        <v>-2.1129827886874008E-3</v>
      </c>
    </row>
    <row r="376" spans="1:13">
      <c r="A376" s="1">
        <v>45839</v>
      </c>
      <c r="B376">
        <v>1.2408462193991276E-3</v>
      </c>
      <c r="C376">
        <v>1.3003507688272853E-2</v>
      </c>
      <c r="D376">
        <v>-1.0775850565285405E-2</v>
      </c>
      <c r="E376">
        <v>-3.3999708117110283E-2</v>
      </c>
      <c r="F376">
        <v>3.3361524719011992E-2</v>
      </c>
      <c r="G376">
        <v>-2.9685437548832461E-2</v>
      </c>
      <c r="H376">
        <v>2.4386560015382974E-2</v>
      </c>
      <c r="I376">
        <v>3.5905282267207239E-2</v>
      </c>
      <c r="J376">
        <v>-5.3358975041316481E-2</v>
      </c>
      <c r="K376">
        <v>3.6214856494680703E-3</v>
      </c>
      <c r="L376" s="11">
        <f t="shared" si="10"/>
        <v>-1.6300764713802378E-3</v>
      </c>
      <c r="M376" s="11">
        <f t="shared" si="11"/>
        <v>-1.6300764713802374E-3</v>
      </c>
    </row>
    <row r="377" spans="1:13">
      <c r="A377" s="1">
        <v>45840</v>
      </c>
      <c r="B377">
        <v>1.0677370536491093E-2</v>
      </c>
      <c r="C377">
        <v>-1.0604081571824353E-2</v>
      </c>
      <c r="D377">
        <v>-1.951003920117822E-3</v>
      </c>
      <c r="E377">
        <v>-6.7563314775197503E-3</v>
      </c>
      <c r="F377">
        <v>4.0593864308403838E-2</v>
      </c>
      <c r="G377">
        <v>2.5766450551924835E-2</v>
      </c>
      <c r="H377">
        <v>9.0196752199509511E-3</v>
      </c>
      <c r="I377">
        <v>-7.7960164142913957E-3</v>
      </c>
      <c r="J377">
        <v>4.9682427807317575E-2</v>
      </c>
      <c r="K377">
        <v>-1.0240219909909309E-2</v>
      </c>
      <c r="L377" s="11">
        <f t="shared" si="10"/>
        <v>9.8392135130425662E-3</v>
      </c>
      <c r="M377" s="11">
        <f t="shared" si="11"/>
        <v>9.8392135130425662E-3</v>
      </c>
    </row>
    <row r="378" spans="1:13">
      <c r="A378" s="1">
        <v>45841</v>
      </c>
      <c r="B378">
        <v>1.8346457633564128E-2</v>
      </c>
      <c r="C378">
        <v>6.2049751697714761E-3</v>
      </c>
      <c r="D378">
        <v>1.5781221482401575E-2</v>
      </c>
      <c r="E378">
        <v>9.5886466228449763E-3</v>
      </c>
      <c r="F378">
        <v>0</v>
      </c>
      <c r="G378">
        <v>1.3290914708362411E-2</v>
      </c>
      <c r="H378">
        <v>-8.0597221509515204E-3</v>
      </c>
      <c r="I378">
        <v>2.7606937289021971E-3</v>
      </c>
      <c r="J378">
        <v>-9.5038111442946605E-4</v>
      </c>
      <c r="K378">
        <v>7.1602944706796734E-3</v>
      </c>
      <c r="L378" s="11">
        <f t="shared" si="10"/>
        <v>6.4123100551145458E-3</v>
      </c>
      <c r="M378" s="11">
        <f t="shared" si="11"/>
        <v>6.4123100551145449E-3</v>
      </c>
    </row>
    <row r="379" spans="1:13">
      <c r="A379" s="1">
        <v>45845</v>
      </c>
      <c r="B379">
        <v>1.2550975995037517E-2</v>
      </c>
      <c r="C379">
        <v>-4.7651905418611973E-3</v>
      </c>
      <c r="D379">
        <v>-2.245199112759888E-3</v>
      </c>
      <c r="E379">
        <v>-5.8280718795532538E-3</v>
      </c>
      <c r="F379">
        <v>1.8326926399658827E-3</v>
      </c>
      <c r="G379">
        <v>-6.9034195431597611E-3</v>
      </c>
      <c r="H379">
        <v>-6.8696107329515588E-3</v>
      </c>
      <c r="I379">
        <v>-8.471018965232946E-3</v>
      </c>
      <c r="J379">
        <v>-6.7892827803152311E-2</v>
      </c>
      <c r="K379">
        <v>-4.3700325836643072E-3</v>
      </c>
      <c r="L379" s="11">
        <f t="shared" si="10"/>
        <v>-9.2961702527331828E-3</v>
      </c>
      <c r="M379" s="11">
        <f t="shared" si="11"/>
        <v>-9.2961702527331828E-3</v>
      </c>
    </row>
    <row r="380" spans="1:13">
      <c r="A380" s="1">
        <v>45846</v>
      </c>
      <c r="B380">
        <v>-5.0313592780160121E-4</v>
      </c>
      <c r="C380">
        <v>-1.0843603003752422E-2</v>
      </c>
      <c r="D380">
        <v>-2.2100902130076649E-3</v>
      </c>
      <c r="E380">
        <v>-1.1096242751826857E-2</v>
      </c>
      <c r="F380">
        <v>-3.4104281353491639E-2</v>
      </c>
      <c r="G380">
        <v>1.1122310703610472E-2</v>
      </c>
      <c r="H380">
        <v>4.3882212813819432E-3</v>
      </c>
      <c r="I380">
        <v>1.3882988682521358E-2</v>
      </c>
      <c r="J380">
        <v>1.3165935514198868E-2</v>
      </c>
      <c r="K380">
        <v>-6.8782005723633244E-4</v>
      </c>
      <c r="L380" s="11">
        <f t="shared" si="10"/>
        <v>-1.6885717125403885E-3</v>
      </c>
      <c r="M380" s="11">
        <f t="shared" si="11"/>
        <v>-1.6885717125403876E-3</v>
      </c>
    </row>
    <row r="381" spans="1:13">
      <c r="A381" s="1">
        <v>45847</v>
      </c>
      <c r="B381">
        <v>3.6976028157955421E-2</v>
      </c>
      <c r="C381">
        <v>-1.0819967681518383E-2</v>
      </c>
      <c r="D381">
        <v>1.3873816431439145E-2</v>
      </c>
      <c r="E381">
        <v>1.01700528555555E-2</v>
      </c>
      <c r="F381">
        <v>-4.8701382476880051E-3</v>
      </c>
      <c r="G381">
        <v>1.8000030517574928E-2</v>
      </c>
      <c r="H381">
        <v>-4.1469015583140978E-3</v>
      </c>
      <c r="I381">
        <v>3.265194339816091E-3</v>
      </c>
      <c r="J381">
        <v>-6.4806174796105953E-3</v>
      </c>
      <c r="K381">
        <v>1.1209851089143186E-2</v>
      </c>
      <c r="L381" s="11">
        <f t="shared" si="10"/>
        <v>6.7177348424353189E-3</v>
      </c>
      <c r="M381" s="11">
        <f t="shared" si="11"/>
        <v>6.7177348424353189E-3</v>
      </c>
    </row>
    <row r="382" spans="1:13">
      <c r="A382" s="1">
        <v>45848</v>
      </c>
      <c r="B382">
        <v>-2.2507049950917235E-3</v>
      </c>
      <c r="C382">
        <v>4.1737661502843082E-3</v>
      </c>
      <c r="D382">
        <v>-4.0316949810826896E-3</v>
      </c>
      <c r="E382">
        <v>-2.92561109537115E-2</v>
      </c>
      <c r="F382">
        <v>1.4410076443300168E-2</v>
      </c>
      <c r="G382">
        <v>7.4901840872412251E-3</v>
      </c>
      <c r="H382">
        <v>1.1897725716445429E-2</v>
      </c>
      <c r="I382">
        <v>-1.049852746678126E-3</v>
      </c>
      <c r="J382">
        <v>4.7282648382799497E-2</v>
      </c>
      <c r="K382">
        <v>4.246207633872956E-3</v>
      </c>
      <c r="L382" s="11">
        <f t="shared" si="10"/>
        <v>5.2912244737379549E-3</v>
      </c>
      <c r="M382" s="11">
        <f t="shared" si="11"/>
        <v>5.291224473737954E-3</v>
      </c>
    </row>
    <row r="383" spans="1:13">
      <c r="A383" s="1">
        <v>45849</v>
      </c>
      <c r="B383">
        <v>3.3172630905753397E-3</v>
      </c>
      <c r="C383">
        <v>1.4333683291860577E-3</v>
      </c>
      <c r="D383">
        <v>3.6691319645443254E-3</v>
      </c>
      <c r="E383">
        <v>-4.38191623035733E-3</v>
      </c>
      <c r="F383">
        <v>-2.6668526131289338E-2</v>
      </c>
      <c r="G383">
        <v>4.9969045394961942E-3</v>
      </c>
      <c r="H383">
        <v>-6.0259208787861729E-3</v>
      </c>
      <c r="I383">
        <v>-2.2070318560698521E-3</v>
      </c>
      <c r="J383">
        <v>1.1746909045070364E-2</v>
      </c>
      <c r="K383">
        <v>-8.0692012810644753E-3</v>
      </c>
      <c r="L383" s="11">
        <f t="shared" si="10"/>
        <v>-2.2189019408694888E-3</v>
      </c>
      <c r="M383" s="11">
        <f t="shared" si="11"/>
        <v>-2.2189019408694888E-3</v>
      </c>
    </row>
    <row r="384" spans="1:13">
      <c r="A384" s="1">
        <v>45852</v>
      </c>
      <c r="B384">
        <v>1.6178796632840386E-2</v>
      </c>
      <c r="C384">
        <v>-5.7249393180891506E-3</v>
      </c>
      <c r="D384">
        <v>-5.9607865012556438E-4</v>
      </c>
      <c r="E384">
        <v>1.3524882153728157E-2</v>
      </c>
      <c r="F384">
        <v>-5.2319601788228809E-3</v>
      </c>
      <c r="G384">
        <v>-5.1539586112306912E-3</v>
      </c>
      <c r="H384">
        <v>2.291977154910585E-3</v>
      </c>
      <c r="I384">
        <v>-1.6010156239452233E-2</v>
      </c>
      <c r="J384">
        <v>1.0813001260767674E-2</v>
      </c>
      <c r="K384">
        <v>5.9221895120511459E-3</v>
      </c>
      <c r="L384" s="11">
        <f t="shared" si="10"/>
        <v>1.6013753716577427E-3</v>
      </c>
      <c r="M384" s="11">
        <f t="shared" si="11"/>
        <v>1.6013753716577427E-3</v>
      </c>
    </row>
    <row r="385" spans="1:13">
      <c r="A385" s="1">
        <v>45853</v>
      </c>
      <c r="B385">
        <v>-2.2124615807922465E-3</v>
      </c>
      <c r="C385">
        <v>-1.5834260604390415E-3</v>
      </c>
      <c r="D385">
        <v>5.5664155932197978E-3</v>
      </c>
      <c r="E385">
        <v>-1.3312189117008488E-3</v>
      </c>
      <c r="F385">
        <v>-3.5986454841591131E-3</v>
      </c>
      <c r="G385">
        <v>4.040951623121769E-2</v>
      </c>
      <c r="H385">
        <v>-1.2982294538171013E-2</v>
      </c>
      <c r="I385">
        <v>-1.0062029869790545E-2</v>
      </c>
      <c r="J385">
        <v>-1.9312070795391212E-2</v>
      </c>
      <c r="K385">
        <v>-1.5365205974392615E-2</v>
      </c>
      <c r="L385" s="11">
        <f t="shared" si="10"/>
        <v>-2.0471421390399151E-3</v>
      </c>
      <c r="M385" s="11">
        <f t="shared" si="11"/>
        <v>-2.0471421390399146E-3</v>
      </c>
    </row>
    <row r="386" spans="1:13">
      <c r="A386" s="1">
        <v>45854</v>
      </c>
      <c r="B386">
        <v>-4.3480914572169294E-4</v>
      </c>
      <c r="C386">
        <v>-1.2976350417112092E-3</v>
      </c>
      <c r="D386">
        <v>-3.9542169968542762E-4</v>
      </c>
      <c r="E386">
        <v>-7.9030372722859177E-3</v>
      </c>
      <c r="F386">
        <v>1.5279985222356185E-3</v>
      </c>
      <c r="G386">
        <v>3.9250039890050825E-3</v>
      </c>
      <c r="H386">
        <v>1.1508919908975068E-2</v>
      </c>
      <c r="I386">
        <v>3.2438125224776293E-4</v>
      </c>
      <c r="J386">
        <v>3.5040912192588092E-2</v>
      </c>
      <c r="K386">
        <v>1.0512768275755979E-2</v>
      </c>
      <c r="L386" s="11">
        <f t="shared" si="10"/>
        <v>5.2809080981403361E-3</v>
      </c>
      <c r="M386" s="11">
        <f t="shared" si="11"/>
        <v>5.2809080981403352E-3</v>
      </c>
    </row>
    <row r="387" spans="1:13">
      <c r="A387" s="1">
        <v>45855</v>
      </c>
      <c r="B387">
        <v>4.7847156708116234E-3</v>
      </c>
      <c r="C387">
        <v>1.9055864859152116E-2</v>
      </c>
      <c r="D387">
        <v>1.2024874705429456E-2</v>
      </c>
      <c r="E387">
        <v>1.9083254739544975E-2</v>
      </c>
      <c r="F387">
        <v>1.2205338438784574E-2</v>
      </c>
      <c r="G387">
        <v>9.5116118880576028E-3</v>
      </c>
      <c r="H387">
        <v>7.4547439105205671E-2</v>
      </c>
      <c r="I387">
        <v>7.3505598256762283E-3</v>
      </c>
      <c r="J387">
        <v>-7.0258639950370183E-3</v>
      </c>
      <c r="K387">
        <v>-2.9259530777955289E-3</v>
      </c>
      <c r="L387" s="11">
        <f t="shared" si="10"/>
        <v>1.4861184215982969E-2</v>
      </c>
      <c r="M387" s="11">
        <f t="shared" si="11"/>
        <v>1.4861184215982971E-2</v>
      </c>
    </row>
    <row r="388" spans="1:13">
      <c r="A388" s="1">
        <v>45856</v>
      </c>
      <c r="B388">
        <v>-7.1861630394371989E-3</v>
      </c>
      <c r="C388">
        <v>-1.0483041537888482E-2</v>
      </c>
      <c r="D388">
        <v>-3.2245932669539012E-3</v>
      </c>
      <c r="E388">
        <v>-5.0958703682824069E-2</v>
      </c>
      <c r="F388">
        <v>-6.9882448995810531E-3</v>
      </c>
      <c r="G388">
        <v>-3.4103834560172963E-3</v>
      </c>
      <c r="H388">
        <v>-1.5126491414412024E-2</v>
      </c>
      <c r="I388">
        <v>6.5457730912190648E-3</v>
      </c>
      <c r="J388">
        <v>3.2059078040672429E-2</v>
      </c>
      <c r="K388">
        <v>5.184376162355564E-3</v>
      </c>
      <c r="L388" s="11">
        <f t="shared" ref="L388:L396" si="12">SUMPRODUCT(B388:K388,$P$2:$Y$2)</f>
        <v>-5.3588394002866977E-3</v>
      </c>
      <c r="M388" s="11">
        <f t="shared" ref="M388:M396" si="13">SUM(B388:K388)/10</f>
        <v>-5.3588394002866968E-3</v>
      </c>
    </row>
    <row r="389" spans="1:13">
      <c r="A389" s="1">
        <v>45859</v>
      </c>
      <c r="B389">
        <v>-8.7158864529368607E-5</v>
      </c>
      <c r="C389">
        <v>3.1496238440809066E-3</v>
      </c>
      <c r="D389">
        <v>1.9625067865014501E-5</v>
      </c>
      <c r="E389">
        <v>1.9872010098030746E-2</v>
      </c>
      <c r="F389">
        <v>2.1388097091966207E-2</v>
      </c>
      <c r="G389">
        <v>-5.9741242237638659E-3</v>
      </c>
      <c r="H389">
        <v>-1.0751246061600495E-2</v>
      </c>
      <c r="I389">
        <v>-1.2153511221310476E-2</v>
      </c>
      <c r="J389">
        <v>-3.5188948387278041E-3</v>
      </c>
      <c r="K389">
        <v>-1.8035544247466784E-2</v>
      </c>
      <c r="L389" s="11">
        <f t="shared" si="12"/>
        <v>-6.0911233554559151E-4</v>
      </c>
      <c r="M389" s="11">
        <f t="shared" si="13"/>
        <v>-6.0911233554559183E-4</v>
      </c>
    </row>
    <row r="390" spans="1:13">
      <c r="A390" s="1">
        <v>45860</v>
      </c>
      <c r="B390">
        <v>-3.6630541158643171E-3</v>
      </c>
      <c r="C390">
        <v>-5.8512349721786538E-3</v>
      </c>
      <c r="D390">
        <v>-9.3910688308226353E-3</v>
      </c>
      <c r="E390">
        <v>-3.5020768195586194E-2</v>
      </c>
      <c r="F390">
        <v>1.8508549158524179E-2</v>
      </c>
      <c r="G390">
        <v>-2.5382226511724504E-2</v>
      </c>
      <c r="H390">
        <v>3.0628062324343119E-2</v>
      </c>
      <c r="I390">
        <v>4.6190358408620291E-2</v>
      </c>
      <c r="J390">
        <v>1.1020107841350546E-2</v>
      </c>
      <c r="K390">
        <v>1.9589034922927295E-2</v>
      </c>
      <c r="L390" s="11">
        <f t="shared" si="12"/>
        <v>4.6627760029589122E-3</v>
      </c>
      <c r="M390" s="11">
        <f t="shared" si="13"/>
        <v>4.662776002958913E-3</v>
      </c>
    </row>
    <row r="391" spans="1:13">
      <c r="A391" s="1">
        <v>45861</v>
      </c>
      <c r="B391">
        <v>2.3634494293813146E-2</v>
      </c>
      <c r="C391">
        <v>-7.177719978673669E-3</v>
      </c>
      <c r="D391">
        <v>1.1874960250206623E-3</v>
      </c>
      <c r="E391">
        <v>-1.1175658148131151E-2</v>
      </c>
      <c r="F391">
        <v>1.8039536030800774E-2</v>
      </c>
      <c r="G391">
        <v>2.2451056860480767E-2</v>
      </c>
      <c r="H391">
        <v>-2.6019559127100633E-3</v>
      </c>
      <c r="I391">
        <v>-1.0522016162289871E-2</v>
      </c>
      <c r="J391">
        <v>1.3550095657457462E-3</v>
      </c>
      <c r="K391">
        <v>5.8319078118975742E-3</v>
      </c>
      <c r="L391" s="11">
        <f t="shared" si="12"/>
        <v>4.1022150385953918E-3</v>
      </c>
      <c r="M391" s="11">
        <f t="shared" si="13"/>
        <v>4.1022150385953918E-3</v>
      </c>
    </row>
    <row r="392" spans="1:13">
      <c r="A392" s="1">
        <v>45862</v>
      </c>
      <c r="B392">
        <v>-1.1159571386445633E-2</v>
      </c>
      <c r="C392">
        <v>-8.6762846747923117E-4</v>
      </c>
      <c r="D392">
        <v>9.9037496075733422E-3</v>
      </c>
      <c r="E392">
        <v>3.3820938235398224E-3</v>
      </c>
      <c r="F392">
        <v>-1.7329014085403327E-2</v>
      </c>
      <c r="G392">
        <v>1.7332279746021806E-2</v>
      </c>
      <c r="H392">
        <v>-7.8951608290612763E-3</v>
      </c>
      <c r="I392">
        <v>-2.3144300073828949E-2</v>
      </c>
      <c r="J392">
        <v>-8.197020076301309E-2</v>
      </c>
      <c r="K392">
        <v>-5.5403483751709226E-3</v>
      </c>
      <c r="L392" s="11">
        <f t="shared" si="12"/>
        <v>-1.1728810080326748E-2</v>
      </c>
      <c r="M392" s="11">
        <f t="shared" si="13"/>
        <v>-1.1728810080326746E-2</v>
      </c>
    </row>
    <row r="393" spans="1:13">
      <c r="A393" s="1">
        <v>45863</v>
      </c>
      <c r="B393">
        <v>7.7398419728664791E-3</v>
      </c>
      <c r="C393">
        <v>1.0130202079587924E-3</v>
      </c>
      <c r="D393">
        <v>5.5394947204738809E-3</v>
      </c>
      <c r="E393">
        <v>-2.2868282209487223E-4</v>
      </c>
      <c r="F393">
        <v>1.1270200142634135E-2</v>
      </c>
      <c r="G393">
        <v>-1.3814060410711759E-3</v>
      </c>
      <c r="H393">
        <v>-7.3351159012249312E-3</v>
      </c>
      <c r="I393">
        <v>7.6841114637486996E-3</v>
      </c>
      <c r="J393">
        <v>3.5244055669342744E-2</v>
      </c>
      <c r="K393">
        <v>1.4187070285913705E-2</v>
      </c>
      <c r="L393" s="11">
        <f t="shared" si="12"/>
        <v>7.3732589698547457E-3</v>
      </c>
      <c r="M393" s="11">
        <f t="shared" si="13"/>
        <v>7.3732589698547457E-3</v>
      </c>
    </row>
    <row r="394" spans="1:13">
      <c r="A394" s="1">
        <v>45866</v>
      </c>
      <c r="B394">
        <v>1.4374007288289636E-2</v>
      </c>
      <c r="C394">
        <v>-1.5613732248724865E-2</v>
      </c>
      <c r="D394">
        <v>-2.3554572052332245E-3</v>
      </c>
      <c r="E394">
        <v>-4.9894659820627352E-3</v>
      </c>
      <c r="F394">
        <v>3.8940623461704238E-2</v>
      </c>
      <c r="G394">
        <v>1.8731988472622474E-2</v>
      </c>
      <c r="H394">
        <v>-1.3105539658549437E-2</v>
      </c>
      <c r="I394">
        <v>-7.9432325200645693E-3</v>
      </c>
      <c r="J394">
        <v>3.015249906002504E-2</v>
      </c>
      <c r="K394">
        <v>-1.2008493577185808E-2</v>
      </c>
      <c r="L394" s="11">
        <f t="shared" si="12"/>
        <v>4.6183197090820752E-3</v>
      </c>
      <c r="M394" s="11">
        <f t="shared" si="13"/>
        <v>4.6183197090820752E-3</v>
      </c>
    </row>
    <row r="395" spans="1:13">
      <c r="A395" s="1">
        <v>45867</v>
      </c>
      <c r="B395">
        <v>-4.3695282225955423E-2</v>
      </c>
      <c r="C395">
        <v>1.8945527756027314E-2</v>
      </c>
      <c r="D395">
        <v>1.365996570106276E-4</v>
      </c>
      <c r="E395">
        <v>-4.9889200352118968E-3</v>
      </c>
      <c r="F395">
        <v>-1.1484049182830303E-2</v>
      </c>
      <c r="G395">
        <v>-7.0155897774539788E-3</v>
      </c>
      <c r="H395">
        <v>1.6387595856492743E-2</v>
      </c>
      <c r="I395">
        <v>-7.5797918047583179E-3</v>
      </c>
      <c r="J395">
        <v>-1.3483166498466814E-2</v>
      </c>
      <c r="K395">
        <v>-2.2789779122189158E-2</v>
      </c>
      <c r="L395" s="11">
        <f t="shared" si="12"/>
        <v>-7.5566855377335214E-3</v>
      </c>
      <c r="M395" s="11">
        <f t="shared" si="13"/>
        <v>-7.5566855377335205E-3</v>
      </c>
    </row>
    <row r="396" spans="1:13">
      <c r="A396" s="1">
        <v>45868</v>
      </c>
      <c r="B396">
        <v>-1.0615954141018902E-3</v>
      </c>
      <c r="C396">
        <v>-9.0803874078686508E-3</v>
      </c>
      <c r="D396">
        <v>1.3071051770168207E-3</v>
      </c>
      <c r="E396">
        <v>1.3227887354483103E-2</v>
      </c>
      <c r="F396">
        <v>-2.1064745146281205E-2</v>
      </c>
      <c r="G396">
        <v>2.1423337036675649E-2</v>
      </c>
      <c r="H396">
        <v>-7.158237429050418E-3</v>
      </c>
      <c r="I396">
        <v>-2.1514301873052366E-3</v>
      </c>
      <c r="J396">
        <v>-6.7247932130144461E-3</v>
      </c>
      <c r="K396">
        <v>-1.5547510409590348E-3</v>
      </c>
      <c r="L396" s="11">
        <f t="shared" si="12"/>
        <v>-1.2837610270405311E-3</v>
      </c>
      <c r="M396" s="11">
        <f t="shared" si="13"/>
        <v>-1.2837610270405309E-3</v>
      </c>
    </row>
    <row r="397" spans="1:13">
      <c r="L397" s="3"/>
    </row>
    <row r="398" spans="1:13">
      <c r="L398" s="3"/>
    </row>
    <row r="399" spans="1:13">
      <c r="K399" s="16" t="s">
        <v>54</v>
      </c>
      <c r="L399" s="17">
        <f>SUM(L3:L396)/COUNT(L3:L396)</f>
        <v>9.8012365057702309E-4</v>
      </c>
    </row>
    <row r="404" spans="12:12">
      <c r="L404" s="4"/>
    </row>
  </sheetData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000EE-5CF6-4A54-BB67-8C10C074D9DA}">
  <sheetPr codeName="Tabelle6"/>
  <dimension ref="A1:J26"/>
  <sheetViews>
    <sheetView workbookViewId="0">
      <selection activeCell="E26" sqref="E26"/>
    </sheetView>
  </sheetViews>
  <sheetFormatPr baseColWidth="10" defaultRowHeight="15"/>
  <cols>
    <col min="5" max="5" width="16.7109375" bestFit="1" customWidth="1"/>
    <col min="7" max="7" width="16.140625" bestFit="1" customWidth="1"/>
  </cols>
  <sheetData>
    <row r="1" spans="1:10">
      <c r="A1" t="s">
        <v>17</v>
      </c>
      <c r="E1" t="s">
        <v>18</v>
      </c>
    </row>
    <row r="2" spans="1:10">
      <c r="A2" t="s">
        <v>1</v>
      </c>
      <c r="B2">
        <f>1/10</f>
        <v>0.1</v>
      </c>
      <c r="E2" s="5" cm="1">
        <f t="array" ref="E2">MMULT(TRANSPOSE(B2:B11),MMULT(Kovarianz!B2:K11,B2:B11))</f>
        <v>1.4949901009960731E-4</v>
      </c>
      <c r="H2" t="e" vm="1">
        <v>#VALUE!</v>
      </c>
      <c r="J2" t="s">
        <v>19</v>
      </c>
    </row>
    <row r="3" spans="1:10">
      <c r="A3" t="s">
        <v>2</v>
      </c>
      <c r="B3">
        <f t="shared" ref="B3:B11" si="0">1/10</f>
        <v>0.1</v>
      </c>
    </row>
    <row r="4" spans="1:10">
      <c r="A4" t="s">
        <v>3</v>
      </c>
      <c r="B4">
        <f t="shared" si="0"/>
        <v>0.1</v>
      </c>
    </row>
    <row r="5" spans="1:10">
      <c r="A5" t="s">
        <v>4</v>
      </c>
      <c r="B5">
        <f t="shared" si="0"/>
        <v>0.1</v>
      </c>
    </row>
    <row r="6" spans="1:10">
      <c r="A6" t="s">
        <v>5</v>
      </c>
      <c r="B6">
        <f t="shared" si="0"/>
        <v>0.1</v>
      </c>
    </row>
    <row r="7" spans="1:10">
      <c r="A7" t="s">
        <v>6</v>
      </c>
      <c r="B7">
        <f t="shared" si="0"/>
        <v>0.1</v>
      </c>
    </row>
    <row r="8" spans="1:10">
      <c r="A8" t="s">
        <v>7</v>
      </c>
      <c r="B8">
        <f t="shared" si="0"/>
        <v>0.1</v>
      </c>
    </row>
    <row r="9" spans="1:10">
      <c r="A9" t="s">
        <v>8</v>
      </c>
      <c r="B9">
        <f t="shared" si="0"/>
        <v>0.1</v>
      </c>
    </row>
    <row r="10" spans="1:10">
      <c r="A10" t="s">
        <v>9</v>
      </c>
      <c r="B10">
        <f t="shared" si="0"/>
        <v>0.1</v>
      </c>
    </row>
    <row r="11" spans="1:10">
      <c r="A11" t="s">
        <v>10</v>
      </c>
      <c r="B11">
        <f t="shared" si="0"/>
        <v>0.1</v>
      </c>
    </row>
    <row r="16" spans="1:10">
      <c r="A16" t="s">
        <v>17</v>
      </c>
      <c r="B16" t="s">
        <v>23</v>
      </c>
      <c r="C16" t="s">
        <v>24</v>
      </c>
      <c r="E16" t="s">
        <v>18</v>
      </c>
      <c r="G16" t="s">
        <v>20</v>
      </c>
    </row>
    <row r="17" spans="1:9">
      <c r="A17" t="s">
        <v>1</v>
      </c>
      <c r="B17">
        <v>2.341836389788917E-2</v>
      </c>
      <c r="C17" s="16">
        <v>2.3603829999999999E-2</v>
      </c>
      <c r="E17" s="6" cm="1">
        <f t="array" ref="E17">MMULT(TRANSPOSE(B17:B26),MMULT(Kovarianz!B2:K11,B17:B26))</f>
        <v>5.4266098354702521E-5</v>
      </c>
      <c r="G17">
        <f>SUM(B17:B26)</f>
        <v>1</v>
      </c>
      <c r="I17" t="s">
        <v>21</v>
      </c>
    </row>
    <row r="18" spans="1:9">
      <c r="A18" t="s">
        <v>2</v>
      </c>
      <c r="B18">
        <v>0.47134246747704805</v>
      </c>
      <c r="C18" s="16">
        <v>0.47194348000000003</v>
      </c>
    </row>
    <row r="19" spans="1:9">
      <c r="A19" t="s">
        <v>3</v>
      </c>
      <c r="B19">
        <v>0.17365715619340272</v>
      </c>
      <c r="C19" s="16">
        <v>0.17313332000000001</v>
      </c>
      <c r="E19" s="19">
        <v>5.4266618000000002E-5</v>
      </c>
      <c r="I19" t="s">
        <v>22</v>
      </c>
    </row>
    <row r="20" spans="1:9">
      <c r="A20" t="s">
        <v>4</v>
      </c>
      <c r="B20">
        <v>4.2565145283409392E-2</v>
      </c>
      <c r="C20" s="16">
        <v>4.2837680000000003E-2</v>
      </c>
    </row>
    <row r="21" spans="1:9">
      <c r="A21" t="s">
        <v>5</v>
      </c>
      <c r="B21">
        <v>0</v>
      </c>
      <c r="C21" s="16">
        <v>0</v>
      </c>
    </row>
    <row r="22" spans="1:9">
      <c r="A22" t="s">
        <v>6</v>
      </c>
      <c r="B22">
        <v>2.7071854250110442E-2</v>
      </c>
      <c r="C22" s="16">
        <v>2.7195980000000002E-2</v>
      </c>
    </row>
    <row r="23" spans="1:9">
      <c r="A23" t="s">
        <v>7</v>
      </c>
      <c r="B23">
        <v>8.0972721197144992E-2</v>
      </c>
      <c r="C23" s="16">
        <v>8.2096169999999996E-2</v>
      </c>
    </row>
    <row r="24" spans="1:9">
      <c r="A24" t="s">
        <v>8</v>
      </c>
      <c r="B24">
        <v>4.1451285124526329E-3</v>
      </c>
      <c r="C24" s="16">
        <v>4.0861539999999998E-3</v>
      </c>
    </row>
    <row r="25" spans="1:9">
      <c r="A25" t="s">
        <v>9</v>
      </c>
      <c r="B25">
        <v>0</v>
      </c>
      <c r="C25" s="16">
        <v>0</v>
      </c>
    </row>
    <row r="26" spans="1:9">
      <c r="A26" t="s">
        <v>10</v>
      </c>
      <c r="B26">
        <v>0.17682716318854264</v>
      </c>
      <c r="C26" s="16">
        <v>0.17510337000000001</v>
      </c>
    </row>
  </sheetData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9F50-24F2-4205-BD01-DD89305B1D7B}">
  <dimension ref="A1:P37"/>
  <sheetViews>
    <sheetView topLeftCell="A4" workbookViewId="0">
      <selection activeCell="J30" sqref="J30"/>
    </sheetView>
  </sheetViews>
  <sheetFormatPr baseColWidth="10" defaultRowHeight="15"/>
  <cols>
    <col min="1" max="1" width="19.85546875" bestFit="1" customWidth="1"/>
    <col min="5" max="5" width="30.140625" bestFit="1" customWidth="1"/>
    <col min="7" max="7" width="15.42578125" customWidth="1"/>
    <col min="13" max="13" width="19.7109375" bestFit="1" customWidth="1"/>
    <col min="15" max="15" width="22.140625" bestFit="1" customWidth="1"/>
    <col min="16" max="16" width="32.42578125" bestFit="1" customWidth="1"/>
  </cols>
  <sheetData>
    <row r="1" spans="1:16">
      <c r="A1" t="s">
        <v>17</v>
      </c>
      <c r="E1" t="s">
        <v>18</v>
      </c>
      <c r="M1" t="s">
        <v>31</v>
      </c>
      <c r="O1" t="s">
        <v>32</v>
      </c>
      <c r="P1" t="s">
        <v>33</v>
      </c>
    </row>
    <row r="2" spans="1:16">
      <c r="A2" t="s">
        <v>1</v>
      </c>
      <c r="B2">
        <v>0.1</v>
      </c>
      <c r="E2" s="9" cm="1">
        <f t="array" ref="E2">MMULT(TRANSPOSE(B2:B11),MMULT(Kovarianz!B2:K11,B2:B11))</f>
        <v>1.4949901009960731E-4</v>
      </c>
      <c r="G2" s="9"/>
      <c r="M2" t="s">
        <v>1</v>
      </c>
      <c r="N2" s="2">
        <v>5.5563125347773089E-4</v>
      </c>
      <c r="O2">
        <f>SQRT(N2)</f>
        <v>2.3571831780278149E-2</v>
      </c>
      <c r="P2">
        <f>O2*0.1</f>
        <v>2.3571831780278153E-3</v>
      </c>
    </row>
    <row r="3" spans="1:16">
      <c r="A3" t="s">
        <v>2</v>
      </c>
      <c r="B3">
        <v>0.1</v>
      </c>
      <c r="M3" t="s">
        <v>2</v>
      </c>
      <c r="N3" s="2">
        <v>9.4292647661012356E-5</v>
      </c>
      <c r="O3">
        <f t="shared" ref="O3:O11" si="0">SQRT(N3)</f>
        <v>9.7104401373476548E-3</v>
      </c>
      <c r="P3">
        <f t="shared" ref="P3:P11" si="1">O3*0.1</f>
        <v>9.710440137347655E-4</v>
      </c>
    </row>
    <row r="4" spans="1:16">
      <c r="A4" t="s">
        <v>3</v>
      </c>
      <c r="B4">
        <v>0.1</v>
      </c>
      <c r="E4" t="s">
        <v>25</v>
      </c>
      <c r="M4" t="s">
        <v>3</v>
      </c>
      <c r="N4" s="2">
        <v>2.1085223833628217E-4</v>
      </c>
      <c r="O4">
        <f t="shared" si="0"/>
        <v>1.4520751989352416E-2</v>
      </c>
      <c r="P4">
        <f t="shared" si="1"/>
        <v>1.4520751989352417E-3</v>
      </c>
    </row>
    <row r="5" spans="1:16">
      <c r="A5" t="s">
        <v>4</v>
      </c>
      <c r="B5">
        <v>0.1</v>
      </c>
      <c r="E5">
        <f>SQRT(E2)</f>
        <v>1.2226978780533125E-2</v>
      </c>
      <c r="M5" t="s">
        <v>4</v>
      </c>
      <c r="N5" s="2">
        <v>4.0752032193444625E-4</v>
      </c>
      <c r="O5">
        <f t="shared" si="0"/>
        <v>2.0187132583268142E-2</v>
      </c>
      <c r="P5">
        <f t="shared" si="1"/>
        <v>2.0187132583268145E-3</v>
      </c>
    </row>
    <row r="6" spans="1:16">
      <c r="A6" t="s">
        <v>5</v>
      </c>
      <c r="B6">
        <v>0.1</v>
      </c>
      <c r="M6" t="s">
        <v>5</v>
      </c>
      <c r="N6" s="2">
        <v>5.832373574480241E-4</v>
      </c>
      <c r="O6">
        <f t="shared" si="0"/>
        <v>2.4150307605660514E-2</v>
      </c>
      <c r="P6">
        <f t="shared" si="1"/>
        <v>2.4150307605660514E-3</v>
      </c>
    </row>
    <row r="7" spans="1:16">
      <c r="A7" t="s">
        <v>6</v>
      </c>
      <c r="B7">
        <v>0.1</v>
      </c>
      <c r="E7" t="s">
        <v>27</v>
      </c>
      <c r="M7" t="s">
        <v>6</v>
      </c>
      <c r="N7" s="2">
        <v>1.1947931751551341E-3</v>
      </c>
      <c r="O7">
        <f t="shared" si="0"/>
        <v>3.4565780407147383E-2</v>
      </c>
      <c r="P7">
        <f t="shared" si="1"/>
        <v>3.4565780407147385E-3</v>
      </c>
    </row>
    <row r="8" spans="1:16">
      <c r="A8" t="s">
        <v>7</v>
      </c>
      <c r="B8">
        <v>0.1</v>
      </c>
      <c r="E8" s="10">
        <f>SUMPRODUCT(B14:B23,B2:B11)</f>
        <v>2.1771307879306482E-2</v>
      </c>
      <c r="M8" t="s">
        <v>7</v>
      </c>
      <c r="N8" s="2">
        <v>1.5641741183986763E-4</v>
      </c>
      <c r="O8">
        <f t="shared" si="0"/>
        <v>1.2506694680844642E-2</v>
      </c>
      <c r="P8">
        <f t="shared" si="1"/>
        <v>1.2506694680844642E-3</v>
      </c>
    </row>
    <row r="9" spans="1:16">
      <c r="A9" t="s">
        <v>8</v>
      </c>
      <c r="B9">
        <v>0.1</v>
      </c>
      <c r="M9" t="s">
        <v>8</v>
      </c>
      <c r="N9" s="2">
        <v>5.5923636291342225E-4</v>
      </c>
      <c r="O9">
        <f t="shared" si="0"/>
        <v>2.3648178849827364E-2</v>
      </c>
      <c r="P9">
        <f t="shared" si="1"/>
        <v>2.3648178849827364E-3</v>
      </c>
    </row>
    <row r="10" spans="1:16">
      <c r="A10" t="s">
        <v>9</v>
      </c>
      <c r="B10">
        <v>0.1</v>
      </c>
      <c r="E10" t="s">
        <v>28</v>
      </c>
      <c r="M10" t="s">
        <v>9</v>
      </c>
      <c r="N10" s="2">
        <v>1.8157452528163225E-3</v>
      </c>
      <c r="O10">
        <f t="shared" si="0"/>
        <v>4.261156243106233E-2</v>
      </c>
      <c r="P10">
        <f t="shared" si="1"/>
        <v>4.2611562431062334E-3</v>
      </c>
    </row>
    <row r="11" spans="1:16">
      <c r="A11" t="s">
        <v>10</v>
      </c>
      <c r="B11">
        <v>0.1</v>
      </c>
      <c r="E11">
        <f>E8/E5</f>
        <v>1.7805958667376702</v>
      </c>
      <c r="I11" t="s">
        <v>29</v>
      </c>
      <c r="M11" t="s">
        <v>10</v>
      </c>
      <c r="N11" s="2">
        <v>1.4982735123486723E-4</v>
      </c>
      <c r="O11">
        <f t="shared" si="0"/>
        <v>1.2240398328276218E-2</v>
      </c>
      <c r="P11">
        <f t="shared" si="1"/>
        <v>1.2240398328276219E-3</v>
      </c>
    </row>
    <row r="12" spans="1:16">
      <c r="P12" s="10">
        <f>SUM(P2:P11)</f>
        <v>2.1771307879306485E-2</v>
      </c>
    </row>
    <row r="13" spans="1:16">
      <c r="A13" t="s">
        <v>26</v>
      </c>
      <c r="E13" s="16">
        <v>1.780595959</v>
      </c>
      <c r="F13" t="s">
        <v>55</v>
      </c>
    </row>
    <row r="14" spans="1:16">
      <c r="A14" t="s">
        <v>1</v>
      </c>
      <c r="B14">
        <f>_xlfn.STDEV.S(Returns!B3:B396)</f>
        <v>2.3571831780278149E-2</v>
      </c>
      <c r="C14">
        <f>SQRT(Kovarianz!B2)</f>
        <v>2.3571831780278149E-2</v>
      </c>
    </row>
    <row r="15" spans="1:16">
      <c r="A15" t="s">
        <v>2</v>
      </c>
      <c r="B15">
        <f>_xlfn.STDEV.S(Returns!C3:C396)</f>
        <v>9.7104401373476548E-3</v>
      </c>
      <c r="C15">
        <f>SQRT(Kovarianz!C3)</f>
        <v>9.7104401373476548E-3</v>
      </c>
    </row>
    <row r="16" spans="1:16">
      <c r="A16" t="s">
        <v>3</v>
      </c>
      <c r="B16">
        <f>_xlfn.STDEV.S(Returns!D3:D396)</f>
        <v>1.4520751989352414E-2</v>
      </c>
      <c r="C16">
        <f>SQRT(Kovarianz!D4)</f>
        <v>1.4520751989352416E-2</v>
      </c>
    </row>
    <row r="17" spans="1:5">
      <c r="A17" t="s">
        <v>4</v>
      </c>
      <c r="B17">
        <f>_xlfn.STDEV.S(Returns!E3:E396)</f>
        <v>2.0187132583268132E-2</v>
      </c>
      <c r="C17">
        <f>SQRT(Kovarianz!E5)</f>
        <v>2.0187132583268142E-2</v>
      </c>
    </row>
    <row r="18" spans="1:5">
      <c r="A18" t="s">
        <v>5</v>
      </c>
      <c r="B18">
        <f>_xlfn.STDEV.S(Returns!F3:F396)</f>
        <v>2.4150307605660504E-2</v>
      </c>
      <c r="C18">
        <f>SQRT(Kovarianz!F6)</f>
        <v>2.4150307605660514E-2</v>
      </c>
    </row>
    <row r="19" spans="1:5">
      <c r="A19" t="s">
        <v>6</v>
      </c>
      <c r="B19">
        <f>_xlfn.STDEV.S(Returns!G3:G396)</f>
        <v>3.4565780407147376E-2</v>
      </c>
      <c r="C19">
        <f>SQRT(Kovarianz!G7)</f>
        <v>3.4565780407147383E-2</v>
      </c>
    </row>
    <row r="20" spans="1:5">
      <c r="A20" t="s">
        <v>7</v>
      </c>
      <c r="B20">
        <f>_xlfn.STDEV.S(Returns!H3:H396)</f>
        <v>1.2506694680844642E-2</v>
      </c>
      <c r="C20">
        <f>SQRT(Kovarianz!H8)</f>
        <v>1.2506694680844642E-2</v>
      </c>
    </row>
    <row r="21" spans="1:5">
      <c r="A21" t="s">
        <v>8</v>
      </c>
      <c r="B21">
        <f>_xlfn.STDEV.S(Returns!I3:I396)</f>
        <v>2.3648178849827371E-2</v>
      </c>
      <c r="C21">
        <f>SQRT(Kovarianz!I9)</f>
        <v>2.3648178849827364E-2</v>
      </c>
    </row>
    <row r="22" spans="1:5">
      <c r="A22" t="s">
        <v>9</v>
      </c>
      <c r="B22">
        <f>_xlfn.STDEV.S(Returns!J3:J396)</f>
        <v>4.2611562431062344E-2</v>
      </c>
      <c r="C22">
        <f>SQRT(Kovarianz!J10)</f>
        <v>4.261156243106233E-2</v>
      </c>
    </row>
    <row r="23" spans="1:5">
      <c r="A23" t="s">
        <v>10</v>
      </c>
      <c r="B23">
        <f>_xlfn.STDEV.S(Returns!K3:K396)</f>
        <v>1.2240398328276215E-2</v>
      </c>
      <c r="C23">
        <f>SQRT(Kovarianz!K11)</f>
        <v>1.2240398328276218E-2</v>
      </c>
    </row>
    <row r="25" spans="1:5">
      <c r="A25" t="s">
        <v>17</v>
      </c>
      <c r="E25" t="s">
        <v>18</v>
      </c>
    </row>
    <row r="26" spans="1:5">
      <c r="A26" t="s">
        <v>1</v>
      </c>
      <c r="B26">
        <v>5.6484396572173245E-2</v>
      </c>
      <c r="C26" s="16">
        <v>5.6480000000000002E-2</v>
      </c>
      <c r="E26" s="2" cm="1">
        <f t="array" ref="E26">MMULT(TRANSPOSE(B26:B35),MMULT(Kovarianz!B2:K11,B26:B35))</f>
        <v>7.4435963060124217E-5</v>
      </c>
    </row>
    <row r="27" spans="1:5">
      <c r="A27" t="s">
        <v>2</v>
      </c>
      <c r="B27">
        <v>0.32245691492376627</v>
      </c>
      <c r="C27" s="16">
        <v>0.32250000000000001</v>
      </c>
    </row>
    <row r="28" spans="1:5">
      <c r="A28" t="s">
        <v>3</v>
      </c>
      <c r="B28">
        <v>0</v>
      </c>
      <c r="C28" s="16">
        <v>0</v>
      </c>
      <c r="E28" t="s">
        <v>25</v>
      </c>
    </row>
    <row r="29" spans="1:5">
      <c r="A29" t="s">
        <v>4</v>
      </c>
      <c r="B29">
        <v>8.1122511025501678E-2</v>
      </c>
      <c r="C29" s="16">
        <v>8.1119999999999998E-2</v>
      </c>
      <c r="E29">
        <f>SQRT(E26)</f>
        <v>8.6276278930030488E-3</v>
      </c>
    </row>
    <row r="30" spans="1:5">
      <c r="A30" t="s">
        <v>5</v>
      </c>
      <c r="B30">
        <v>5.0828642331084799E-2</v>
      </c>
      <c r="C30" s="16">
        <v>5.083E-2</v>
      </c>
    </row>
    <row r="31" spans="1:5">
      <c r="A31" t="s">
        <v>6</v>
      </c>
      <c r="B31">
        <v>9.9959358933927697E-2</v>
      </c>
      <c r="C31" s="16">
        <v>9.9599999999999994E-2</v>
      </c>
      <c r="E31" t="s">
        <v>27</v>
      </c>
    </row>
    <row r="32" spans="1:5">
      <c r="A32" t="s">
        <v>7</v>
      </c>
      <c r="B32">
        <v>0.16423056829249433</v>
      </c>
      <c r="C32" s="16">
        <v>0.16420000000000001</v>
      </c>
      <c r="E32">
        <f>SUMPRODUCT(B14:B23,B26:B35)</f>
        <v>1.7205413838092515E-2</v>
      </c>
    </row>
    <row r="33" spans="1:13">
      <c r="A33" t="s">
        <v>8</v>
      </c>
      <c r="B33">
        <v>4.0207547154860863E-2</v>
      </c>
      <c r="C33" s="16">
        <v>4.0210000000000003E-2</v>
      </c>
    </row>
    <row r="34" spans="1:13">
      <c r="A34" t="s">
        <v>9</v>
      </c>
      <c r="B34">
        <v>3.8085518454257949E-2</v>
      </c>
      <c r="C34" s="16">
        <v>3.8089999999999999E-2</v>
      </c>
      <c r="E34" t="s">
        <v>28</v>
      </c>
      <c r="M34" t="s">
        <v>20</v>
      </c>
    </row>
    <row r="35" spans="1:13">
      <c r="A35" t="s">
        <v>10</v>
      </c>
      <c r="B35">
        <v>0.14662454231193314</v>
      </c>
      <c r="C35" s="16">
        <v>0.14660000000000001</v>
      </c>
      <c r="E35" s="5">
        <f>E32/E29</f>
        <v>1.9942229835904253</v>
      </c>
      <c r="M35">
        <f>SUM(B26:B35)</f>
        <v>0.99999999999999989</v>
      </c>
    </row>
    <row r="36" spans="1:13">
      <c r="C36" t="s">
        <v>57</v>
      </c>
    </row>
    <row r="37" spans="1:13">
      <c r="E37" s="20">
        <v>1.9942233666306499</v>
      </c>
      <c r="F37" t="s">
        <v>56</v>
      </c>
    </row>
  </sheetData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B4BB4-12C0-4F67-8266-02EFDE4BDC07}">
  <dimension ref="A1:F13"/>
  <sheetViews>
    <sheetView workbookViewId="0">
      <selection activeCell="H8" sqref="H8"/>
    </sheetView>
  </sheetViews>
  <sheetFormatPr baseColWidth="10" defaultRowHeight="15"/>
  <sheetData>
    <row r="1" spans="1:6">
      <c r="A1" t="s">
        <v>26</v>
      </c>
      <c r="C1" t="s">
        <v>34</v>
      </c>
      <c r="D1" t="s">
        <v>17</v>
      </c>
      <c r="F1" t="s">
        <v>24</v>
      </c>
    </row>
    <row r="2" spans="1:6">
      <c r="A2" t="s">
        <v>1</v>
      </c>
      <c r="B2">
        <f>_xlfn.STDEV.S(Returns!B3:B396)</f>
        <v>2.3571831780278149E-2</v>
      </c>
      <c r="C2">
        <f>1/B2</f>
        <v>42.42351673477792</v>
      </c>
      <c r="D2">
        <f>C2/$C$13</f>
        <v>7.5546525375121534E-2</v>
      </c>
      <c r="F2" s="16">
        <v>7.5546520000000006E-2</v>
      </c>
    </row>
    <row r="3" spans="1:6">
      <c r="A3" t="s">
        <v>2</v>
      </c>
      <c r="B3">
        <f>_xlfn.STDEV.S(Returns!C3:C396)</f>
        <v>9.7104401373476548E-3</v>
      </c>
      <c r="C3">
        <f t="shared" ref="C3:C11" si="0">1/B3</f>
        <v>102.98194374875614</v>
      </c>
      <c r="D3">
        <f t="shared" ref="D3:D11" si="1">C3/$C$13</f>
        <v>0.18338715470556266</v>
      </c>
      <c r="F3" s="16">
        <v>0.18338716999999999</v>
      </c>
    </row>
    <row r="4" spans="1:6">
      <c r="A4" t="s">
        <v>3</v>
      </c>
      <c r="B4">
        <f>_xlfn.STDEV.S(Returns!D3:D396)</f>
        <v>1.4520751989352414E-2</v>
      </c>
      <c r="C4">
        <f t="shared" si="0"/>
        <v>68.866956803150885</v>
      </c>
      <c r="D4">
        <f t="shared" si="1"/>
        <v>0.12263620982113453</v>
      </c>
      <c r="F4" s="16">
        <v>0.12263622</v>
      </c>
    </row>
    <row r="5" spans="1:6">
      <c r="A5" t="s">
        <v>4</v>
      </c>
      <c r="B5">
        <f>_xlfn.STDEV.S(Returns!E3:E396)</f>
        <v>2.0187132583268132E-2</v>
      </c>
      <c r="C5">
        <f t="shared" si="0"/>
        <v>49.536505289950803</v>
      </c>
      <c r="D5">
        <f t="shared" si="1"/>
        <v>8.8213121917218182E-2</v>
      </c>
      <c r="F5" s="16">
        <v>8.8213120000000006E-2</v>
      </c>
    </row>
    <row r="6" spans="1:6">
      <c r="A6" t="s">
        <v>5</v>
      </c>
      <c r="B6">
        <f>_xlfn.STDEV.S(Returns!F3:F396)</f>
        <v>2.4150307605660504E-2</v>
      </c>
      <c r="C6">
        <f t="shared" si="0"/>
        <v>41.407340077341857</v>
      </c>
      <c r="D6">
        <f t="shared" si="1"/>
        <v>7.3736948481330777E-2</v>
      </c>
      <c r="F6" s="16">
        <v>7.3736940000000001E-2</v>
      </c>
    </row>
    <row r="7" spans="1:6">
      <c r="A7" t="s">
        <v>6</v>
      </c>
      <c r="B7">
        <f>_xlfn.STDEV.S(Returns!G3:G396)</f>
        <v>3.4565780407147376E-2</v>
      </c>
      <c r="C7">
        <f t="shared" si="0"/>
        <v>28.930346377865202</v>
      </c>
      <c r="D7">
        <f t="shared" si="1"/>
        <v>5.1518292564245387E-2</v>
      </c>
      <c r="F7" s="16">
        <v>5.151828E-2</v>
      </c>
    </row>
    <row r="8" spans="1:6">
      <c r="A8" t="s">
        <v>7</v>
      </c>
      <c r="B8">
        <f>_xlfn.STDEV.S(Returns!H3:H396)</f>
        <v>1.2506694680844642E-2</v>
      </c>
      <c r="C8">
        <f t="shared" si="0"/>
        <v>79.957176977511764</v>
      </c>
      <c r="D8">
        <f t="shared" si="1"/>
        <v>0.14238534106491954</v>
      </c>
      <c r="F8" s="16">
        <v>0.14238538000000001</v>
      </c>
    </row>
    <row r="9" spans="1:6">
      <c r="A9" t="s">
        <v>8</v>
      </c>
      <c r="B9">
        <f>_xlfn.STDEV.S(Returns!I3:I396)</f>
        <v>2.3648178849827371E-2</v>
      </c>
      <c r="C9">
        <f t="shared" si="0"/>
        <v>42.286554341046006</v>
      </c>
      <c r="D9">
        <f t="shared" si="1"/>
        <v>7.530262685491651E-2</v>
      </c>
      <c r="F9" s="16">
        <v>7.5302649999999999E-2</v>
      </c>
    </row>
    <row r="10" spans="1:6">
      <c r="A10" t="s">
        <v>9</v>
      </c>
      <c r="B10">
        <f>_xlfn.STDEV.S(Returns!J3:J396)</f>
        <v>4.2611562431062344E-2</v>
      </c>
      <c r="C10">
        <f t="shared" si="0"/>
        <v>23.467808804659903</v>
      </c>
      <c r="D10">
        <f t="shared" si="1"/>
        <v>4.179076959705097E-2</v>
      </c>
      <c r="F10" s="16">
        <v>4.1790769999999998E-2</v>
      </c>
    </row>
    <row r="11" spans="1:6">
      <c r="A11" t="s">
        <v>10</v>
      </c>
      <c r="B11">
        <f>_xlfn.STDEV.S(Returns!K3:K396)</f>
        <v>1.2240398328276215E-2</v>
      </c>
      <c r="C11">
        <f t="shared" si="0"/>
        <v>81.696687736862856</v>
      </c>
      <c r="D11">
        <f t="shared" si="1"/>
        <v>0.14548300961849997</v>
      </c>
      <c r="F11" s="16">
        <v>0.14548295999999999</v>
      </c>
    </row>
    <row r="13" spans="1:6">
      <c r="C13">
        <f>SUM(C2:C11)</f>
        <v>561.55483689192329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43597-09E3-4910-9E94-D7916F3C12C3}">
  <dimension ref="A1:L57"/>
  <sheetViews>
    <sheetView topLeftCell="A24" workbookViewId="0">
      <selection activeCell="G55" sqref="G55"/>
    </sheetView>
  </sheetViews>
  <sheetFormatPr baseColWidth="10" defaultRowHeight="15"/>
  <cols>
    <col min="1" max="1" width="12.5703125" bestFit="1" customWidth="1"/>
    <col min="2" max="2" width="17.5703125" bestFit="1" customWidth="1"/>
    <col min="3" max="3" width="22.28515625" customWidth="1"/>
    <col min="4" max="4" width="24.7109375" bestFit="1" customWidth="1"/>
    <col min="5" max="5" width="22.140625" customWidth="1"/>
    <col min="7" max="7" width="30.42578125" customWidth="1"/>
    <col min="9" max="9" width="24.28515625" bestFit="1" customWidth="1"/>
    <col min="10" max="10" width="27.42578125" customWidth="1"/>
    <col min="11" max="11" width="16.140625" bestFit="1" customWidth="1"/>
    <col min="13" max="13" width="16.140625" bestFit="1" customWidth="1"/>
  </cols>
  <sheetData>
    <row r="1" spans="1:10">
      <c r="A1" t="s">
        <v>17</v>
      </c>
      <c r="G1" t="s">
        <v>35</v>
      </c>
    </row>
    <row r="2" spans="1:10">
      <c r="A2" t="s">
        <v>1</v>
      </c>
      <c r="B2">
        <f>1/10</f>
        <v>0.1</v>
      </c>
      <c r="G2" cm="1">
        <f t="array" ref="G2">MMULT(TRANSPOSE(B2:B11),MMULT(Kovarianz!B2:K11,B2:B11))</f>
        <v>1.4949901009960731E-4</v>
      </c>
    </row>
    <row r="3" spans="1:10">
      <c r="A3" t="s">
        <v>2</v>
      </c>
      <c r="B3">
        <f t="shared" ref="B3:B11" si="0">1/10</f>
        <v>0.1</v>
      </c>
    </row>
    <row r="4" spans="1:10">
      <c r="A4" t="s">
        <v>3</v>
      </c>
      <c r="B4">
        <f t="shared" si="0"/>
        <v>0.1</v>
      </c>
      <c r="G4" t="s">
        <v>36</v>
      </c>
    </row>
    <row r="5" spans="1:10">
      <c r="A5" t="s">
        <v>4</v>
      </c>
      <c r="B5">
        <f t="shared" si="0"/>
        <v>0.1</v>
      </c>
      <c r="G5">
        <f>SQRT(G2)</f>
        <v>1.2226978780533125E-2</v>
      </c>
    </row>
    <row r="6" spans="1:10">
      <c r="A6" t="s">
        <v>5</v>
      </c>
      <c r="B6">
        <f t="shared" si="0"/>
        <v>0.1</v>
      </c>
    </row>
    <row r="7" spans="1:10">
      <c r="A7" t="s">
        <v>6</v>
      </c>
      <c r="B7">
        <f t="shared" si="0"/>
        <v>0.1</v>
      </c>
    </row>
    <row r="8" spans="1:10">
      <c r="A8" t="s">
        <v>7</v>
      </c>
      <c r="B8">
        <f t="shared" si="0"/>
        <v>0.1</v>
      </c>
    </row>
    <row r="9" spans="1:10">
      <c r="A9" t="s">
        <v>8</v>
      </c>
      <c r="B9">
        <f t="shared" si="0"/>
        <v>0.1</v>
      </c>
    </row>
    <row r="10" spans="1:10">
      <c r="A10" t="s">
        <v>9</v>
      </c>
      <c r="B10">
        <f t="shared" si="0"/>
        <v>0.1</v>
      </c>
    </row>
    <row r="11" spans="1:10">
      <c r="A11" t="s">
        <v>10</v>
      </c>
      <c r="B11">
        <f t="shared" si="0"/>
        <v>0.1</v>
      </c>
    </row>
    <row r="15" spans="1:10">
      <c r="A15" t="s">
        <v>37</v>
      </c>
      <c r="B15" t="s">
        <v>47</v>
      </c>
      <c r="C15" t="s">
        <v>48</v>
      </c>
      <c r="D15" t="s">
        <v>49</v>
      </c>
      <c r="E15" t="s">
        <v>50</v>
      </c>
      <c r="I15" t="s">
        <v>59</v>
      </c>
      <c r="J15" s="9" t="s">
        <v>60</v>
      </c>
    </row>
    <row r="16" spans="1:10">
      <c r="A16" t="s">
        <v>1</v>
      </c>
      <c r="B16" s="11">
        <f>Kovarianz!B2*B2</f>
        <v>5.5563125347773092E-5</v>
      </c>
      <c r="C16" s="11">
        <f>Kovarianz!C2*ERC!$B$3+Kovarianz!D2*ERC!$B$4+Kovarianz!E2*ERC!$B$5+Kovarianz!F2*ERC!$B$6+Kovarianz!G2*ERC!$B$7+Kovarianz!H2*ERC!$B$8+Kovarianz!I2*ERC!$B$9+Kovarianz!J2*ERC!$B$10+Kovarianz!K2*ERC!$B$11</f>
        <v>1.1900025053404519E-4</v>
      </c>
      <c r="D16">
        <f>(B16+C16)/$G$5</f>
        <v>1.4276901842648564E-2</v>
      </c>
      <c r="E16">
        <f>D16*B2</f>
        <v>1.4276901842648565E-3</v>
      </c>
      <c r="G16" s="9"/>
      <c r="I16" s="21">
        <v>1.42769E-2</v>
      </c>
      <c r="J16" s="16">
        <v>1.4276900000000001E-3</v>
      </c>
    </row>
    <row r="17" spans="1:11">
      <c r="A17" t="s">
        <v>2</v>
      </c>
      <c r="B17" s="11">
        <f>Kovarianz!C3*B3</f>
        <v>9.4292647661012356E-6</v>
      </c>
      <c r="C17" s="11">
        <f>Kovarianz!B3*ERC!$B$2+Kovarianz!D3*ERC!$B$4+Kovarianz!E3*ERC!$B$5+Kovarianz!F3*ERC!$B$6+Kovarianz!G3*ERC!$B$7+Kovarianz!H3*ERC!$B$8+Kovarianz!I3*ERC!$B$9+Kovarianz!J3*ERC!$B$10+Kovarianz!K3*ERC!$B$11</f>
        <v>6.76221472387161E-6</v>
      </c>
      <c r="D17">
        <f t="shared" ref="D17:D25" si="1">(B17+C17)/$G$5</f>
        <v>1.3242420536258475E-3</v>
      </c>
      <c r="E17">
        <f t="shared" ref="E17:E25" si="2">D17*B3</f>
        <v>1.3242420536258476E-4</v>
      </c>
      <c r="I17" s="21">
        <v>1.3244999999999999E-3</v>
      </c>
      <c r="J17" s="16">
        <v>1.3244999999999999E-4</v>
      </c>
    </row>
    <row r="18" spans="1:11">
      <c r="A18" t="s">
        <v>3</v>
      </c>
      <c r="B18" s="11">
        <f>Kovarianz!D4*B4</f>
        <v>2.1085223833628219E-5</v>
      </c>
      <c r="C18" s="11">
        <f>Kovarianz!B4*ERC!$B$2+Kovarianz!C4*ERC!$B$3+Kovarianz!E4*ERC!$B$5+Kovarianz!F4*ERC!$B$6+Kovarianz!G4*ERC!$B$7+Kovarianz!H4*ERC!$B$8+Kovarianz!I4*ERC!$B$9+Kovarianz!J4*ERC!$B$10+Kovarianz!K4*ERC!$B$11</f>
        <v>9.4964124045988319E-5</v>
      </c>
      <c r="D18">
        <f t="shared" si="1"/>
        <v>9.4912529057776373E-3</v>
      </c>
      <c r="E18">
        <f t="shared" si="2"/>
        <v>9.4912529057776377E-4</v>
      </c>
      <c r="I18" s="21">
        <v>9.4912499999999997E-3</v>
      </c>
      <c r="J18" s="16">
        <v>9.4912499999999999E-4</v>
      </c>
    </row>
    <row r="19" spans="1:11">
      <c r="A19" t="s">
        <v>4</v>
      </c>
      <c r="B19" s="11">
        <f>Kovarianz!E5*B5</f>
        <v>4.0752032193444625E-5</v>
      </c>
      <c r="C19" s="11">
        <f>Kovarianz!B5*ERC!$B$2+Kovarianz!C5*ERC!$B$3+Kovarianz!D5*ERC!$B$4+Kovarianz!F5*ERC!$B$6+Kovarianz!G5*ERC!$B$7+Kovarianz!H5*ERC!$B$8+Kovarianz!I5*ERC!$B$9+Kovarianz!J5*ERC!$B$10+Kovarianz!K5*ERC!$B$11</f>
        <v>9.8746436575240809E-5</v>
      </c>
      <c r="D19">
        <f t="shared" si="1"/>
        <v>1.1409070979233594E-2</v>
      </c>
      <c r="E19">
        <f t="shared" si="2"/>
        <v>1.1409070979233593E-3</v>
      </c>
      <c r="I19" s="21">
        <v>1.140907E-2</v>
      </c>
      <c r="J19" s="16">
        <v>1.140907E-3</v>
      </c>
    </row>
    <row r="20" spans="1:11">
      <c r="A20" t="s">
        <v>5</v>
      </c>
      <c r="B20" s="11">
        <f>Kovarianz!F6*B6</f>
        <v>5.8323735744802414E-5</v>
      </c>
      <c r="C20" s="11">
        <f>Kovarianz!B6*ERC!$B$2+Kovarianz!C6*ERC!$B$3+Kovarianz!D6*ERC!$B$4+Kovarianz!E6*ERC!$B$5+Kovarianz!G6*ERC!$B$7+Kovarianz!H6*ERC!$B$8+Kovarianz!I6*ERC!$B$9+Kovarianz!J6*ERC!$B$10+Kovarianz!K6*ERC!$B$11</f>
        <v>1.0475286370540113E-4</v>
      </c>
      <c r="D20">
        <f t="shared" si="1"/>
        <v>1.3337440293087106E-2</v>
      </c>
      <c r="E20">
        <f t="shared" si="2"/>
        <v>1.3337440293087106E-3</v>
      </c>
      <c r="I20" s="21">
        <v>1.3337440000000001E-2</v>
      </c>
      <c r="J20" s="16">
        <v>1.333744E-3</v>
      </c>
    </row>
    <row r="21" spans="1:11">
      <c r="A21" t="s">
        <v>6</v>
      </c>
      <c r="B21" s="11">
        <f>Kovarianz!G7*B7</f>
        <v>1.1947931751551342E-4</v>
      </c>
      <c r="C21" s="11">
        <f>Kovarianz!B7*ERC!$B$2+Kovarianz!C7*ERC!$B$3+Kovarianz!D7*ERC!$B$4+Kovarianz!E7*ERC!$B$5+Kovarianz!F7*ERC!$B$6+Kovarianz!H7*ERC!$B$8+Kovarianz!I7*ERC!$B$9+Kovarianz!J7*ERC!$B$10+Kovarianz!K7*ERC!$B$11</f>
        <v>1.463698568829523E-4</v>
      </c>
      <c r="D21">
        <f t="shared" si="1"/>
        <v>2.1742834364097428E-2</v>
      </c>
      <c r="E21">
        <f t="shared" si="2"/>
        <v>2.1742834364097429E-3</v>
      </c>
      <c r="I21" s="21">
        <v>2.1742839999999999E-2</v>
      </c>
      <c r="J21" s="16">
        <v>2.1742839999999999E-3</v>
      </c>
    </row>
    <row r="22" spans="1:11">
      <c r="A22" t="s">
        <v>7</v>
      </c>
      <c r="B22" s="11">
        <f>Kovarianz!H8*B8</f>
        <v>1.5641741183986763E-5</v>
      </c>
      <c r="C22" s="11">
        <f>Kovarianz!B8*ERC!$B$2+Kovarianz!C8*ERC!$B$3+Kovarianz!D8*ERC!$B$4+Kovarianz!E8*ERC!$B$5+Kovarianz!F8*ERC!$B$6+Kovarianz!G8*ERC!$B$7+Kovarianz!I8*ERC!$B$9+Kovarianz!J8*ERC!$B$10+Kovarianz!K8*ERC!$B$11</f>
        <v>1.5831398118169133E-5</v>
      </c>
      <c r="D22">
        <f t="shared" si="1"/>
        <v>2.5740732741161751E-3</v>
      </c>
      <c r="E22">
        <f t="shared" si="2"/>
        <v>2.5740732741161754E-4</v>
      </c>
      <c r="I22" s="21">
        <v>2.5740699999999999E-3</v>
      </c>
      <c r="J22" s="16">
        <v>2.5740699999999997E-4</v>
      </c>
    </row>
    <row r="23" spans="1:11">
      <c r="A23" t="s">
        <v>8</v>
      </c>
      <c r="B23" s="11">
        <f>Kovarianz!I9*B9</f>
        <v>5.5923636291342227E-5</v>
      </c>
      <c r="C23" s="11">
        <f>Kovarianz!B9*ERC!$B$2+Kovarianz!C9*ERC!$B$3+Kovarianz!D9*ERC!$B$4+Kovarianz!E9*ERC!$B$5+Kovarianz!F9*ERC!$B$6+Kovarianz!G9*ERC!$B$7+Kovarianz!H9*ERC!$B$8+Kovarianz!J9*ERC!$B$10+Kovarianz!K9*ERC!$B$11</f>
        <v>1.12514153778971E-4</v>
      </c>
      <c r="D23">
        <f t="shared" si="1"/>
        <v>1.3775912520473756E-2</v>
      </c>
      <c r="E23">
        <f t="shared" si="2"/>
        <v>1.3775912520473757E-3</v>
      </c>
      <c r="I23" s="21">
        <v>1.3775900000000001E-2</v>
      </c>
      <c r="J23" s="16">
        <v>1.3775900000000002E-3</v>
      </c>
    </row>
    <row r="24" spans="1:11">
      <c r="A24" t="s">
        <v>9</v>
      </c>
      <c r="B24" s="11">
        <f>Kovarianz!J10*B10</f>
        <v>1.8157452528163226E-4</v>
      </c>
      <c r="C24" s="11">
        <f>Kovarianz!B10*ERC!$B$2+Kovarianz!C10*ERC!$B$3+Kovarianz!D10*ERC!$B$4+Kovarianz!E10*ERC!$B$5+Kovarianz!F10*ERC!$B$6+Kovarianz!G10*ERC!$B$7+Kovarianz!H10*ERC!$B$8+Kovarianz!I10*ERC!$B$9+Kovarianz!K10*ERC!$B$11</f>
        <v>1.9165048535620561E-4</v>
      </c>
      <c r="D24">
        <f t="shared" si="1"/>
        <v>3.0524712387009177E-2</v>
      </c>
      <c r="E24">
        <f t="shared" si="2"/>
        <v>3.0524712387009177E-3</v>
      </c>
      <c r="I24" s="21">
        <v>3.052471E-2</v>
      </c>
      <c r="J24" s="16">
        <v>3.0524710000000002E-3</v>
      </c>
    </row>
    <row r="25" spans="1:11">
      <c r="A25" t="s">
        <v>10</v>
      </c>
      <c r="B25" s="11">
        <f>Kovarianz!K11*B11</f>
        <v>1.4982735123486723E-5</v>
      </c>
      <c r="C25" s="11">
        <f>Kovarianz!B11*ERC!$B$2+Kovarianz!C11*ERC!$B$3+Kovarianz!D11*ERC!$B$4+Kovarianz!E11*ERC!$B$5+Kovarianz!F11*ERC!$B$6+Kovarianz!G11*ERC!$B$7+Kovarianz!H11*ERC!$B$8+Kovarianz!I11*ERC!$B$9+Kovarianz!J11*ERC!$B$10</f>
        <v>3.1642979993516776E-5</v>
      </c>
      <c r="D25">
        <f t="shared" si="1"/>
        <v>3.8133471852619429E-3</v>
      </c>
      <c r="E25">
        <f t="shared" si="2"/>
        <v>3.8133471852619432E-4</v>
      </c>
      <c r="I25" s="21">
        <v>3.8133500000000001E-3</v>
      </c>
      <c r="J25" s="16">
        <v>3.8133500000000001E-4</v>
      </c>
    </row>
    <row r="27" spans="1:11" s="14" customFormat="1"/>
    <row r="30" spans="1:11">
      <c r="A30" t="s">
        <v>17</v>
      </c>
      <c r="G30" t="s">
        <v>35</v>
      </c>
      <c r="K30" t="s">
        <v>53</v>
      </c>
    </row>
    <row r="31" spans="1:11">
      <c r="A31" t="s">
        <v>1</v>
      </c>
      <c r="B31">
        <v>6.8485959999999999E-2</v>
      </c>
      <c r="G31" cm="1">
        <f t="array" ref="G31">MMULT(TRANSPOSE(B31:B40),MMULT(Kovarianz!B2:K11,B31:B40))</f>
        <v>7.8956851767058775E-5</v>
      </c>
      <c r="K31" s="16">
        <v>6.8485959999999999E-2</v>
      </c>
    </row>
    <row r="32" spans="1:11">
      <c r="A32" t="s">
        <v>2</v>
      </c>
      <c r="B32">
        <v>0.2181565</v>
      </c>
      <c r="K32" s="16">
        <v>0.2181565</v>
      </c>
    </row>
    <row r="33" spans="1:12">
      <c r="A33" t="s">
        <v>3</v>
      </c>
      <c r="B33">
        <v>0.10233816</v>
      </c>
      <c r="G33" t="s">
        <v>36</v>
      </c>
      <c r="K33" s="16">
        <v>0.10233816</v>
      </c>
    </row>
    <row r="34" spans="1:12">
      <c r="A34" t="s">
        <v>4</v>
      </c>
      <c r="B34">
        <v>8.4227579999999996E-2</v>
      </c>
      <c r="G34">
        <f>SQRT(G31)</f>
        <v>8.885766808050883E-3</v>
      </c>
      <c r="K34" s="16">
        <v>8.4227579999999996E-2</v>
      </c>
    </row>
    <row r="35" spans="1:12">
      <c r="A35" t="s">
        <v>5</v>
      </c>
      <c r="B35">
        <v>6.5525379999999994E-2</v>
      </c>
      <c r="K35" s="16">
        <v>6.5525379999999994E-2</v>
      </c>
    </row>
    <row r="36" spans="1:12">
      <c r="A36" t="s">
        <v>6</v>
      </c>
      <c r="B36">
        <v>5.499768E-2</v>
      </c>
      <c r="K36" s="16">
        <v>5.499768E-2</v>
      </c>
    </row>
    <row r="37" spans="1:12">
      <c r="A37" t="s">
        <v>7</v>
      </c>
      <c r="B37">
        <v>0.15743491000000001</v>
      </c>
      <c r="K37" s="16">
        <v>0.15743491000000001</v>
      </c>
    </row>
    <row r="38" spans="1:12">
      <c r="A38" t="s">
        <v>8</v>
      </c>
      <c r="B38">
        <v>6.5927810000000003E-2</v>
      </c>
      <c r="K38" s="16">
        <v>6.5927810000000003E-2</v>
      </c>
    </row>
    <row r="39" spans="1:12">
      <c r="A39" t="s">
        <v>9</v>
      </c>
      <c r="B39">
        <v>3.8540930000000001E-2</v>
      </c>
      <c r="K39" s="16">
        <v>3.8540930000000001E-2</v>
      </c>
    </row>
    <row r="40" spans="1:12">
      <c r="A40" t="s">
        <v>10</v>
      </c>
      <c r="B40">
        <v>0.14436509</v>
      </c>
      <c r="K40" s="16">
        <v>0.14436509</v>
      </c>
    </row>
    <row r="42" spans="1:12">
      <c r="A42" t="s">
        <v>51</v>
      </c>
      <c r="B42">
        <f>SUM(B31:B40)</f>
        <v>1</v>
      </c>
      <c r="K42" s="17">
        <v>5.7999999999999996E-10</v>
      </c>
      <c r="L42" t="s">
        <v>58</v>
      </c>
    </row>
    <row r="44" spans="1:12">
      <c r="A44" t="s">
        <v>37</v>
      </c>
      <c r="B44" t="s">
        <v>47</v>
      </c>
      <c r="C44" t="s">
        <v>48</v>
      </c>
      <c r="D44" t="s">
        <v>49</v>
      </c>
      <c r="E44" t="s">
        <v>50</v>
      </c>
      <c r="J44" s="9"/>
    </row>
    <row r="45" spans="1:12">
      <c r="A45" t="s">
        <v>1</v>
      </c>
      <c r="B45" s="11">
        <f>Kovarianz!B2*B31</f>
        <v>3.8052939800425735E-5</v>
      </c>
      <c r="C45" s="11">
        <f>Kovarianz!C2*ERC!$B$32+Kovarianz!D2*ERC!$B$33+Kovarianz!E2*ERC!$B$34+Kovarianz!F2*ERC!$B$35+Kovarianz!G2*ERC!$B$36+Kovarianz!H2*ERC!$B$37+Kovarianz!I2*ERC!$B$38+Kovarianz!J2*ERC!$B$39+Kovarianz!K2*ERC!$B$40</f>
        <v>7.7419754678214166E-5</v>
      </c>
      <c r="D45">
        <f>(B45+C45)/$G$34</f>
        <v>1.2995242501076747E-2</v>
      </c>
      <c r="E45">
        <f>D45*B31</f>
        <v>8.8999165811904203E-4</v>
      </c>
      <c r="G45" s="9"/>
      <c r="I45" s="9"/>
    </row>
    <row r="46" spans="1:12">
      <c r="A46" t="s">
        <v>2</v>
      </c>
      <c r="B46" s="11">
        <f>Kovarianz!C3*B32</f>
        <v>2.0570553989459644E-5</v>
      </c>
      <c r="C46" s="11">
        <f>Kovarianz!B3*ERC!$B$31+Kovarianz!D3*ERC!$B$33+Kovarianz!E3*ERC!$B$34+Kovarianz!F3*ERC!$B$35+Kovarianz!G3*ERC!$B$36+Kovarianz!H3*ERC!$B$37+Kovarianz!I3*ERC!$B$38+Kovarianz!J3*ERC!$B$39+Kovarianz!K3*ERC!$B$40</f>
        <v>1.5535017490301494E-5</v>
      </c>
      <c r="D46">
        <f t="shared" ref="D46:D54" si="3">(B46+C46)/$G$34</f>
        <v>4.0633039623601142E-3</v>
      </c>
      <c r="E46">
        <f t="shared" ref="E46:E54" si="4">D46*B32</f>
        <v>8.8643617086461423E-4</v>
      </c>
      <c r="I46" s="9"/>
    </row>
    <row r="47" spans="1:12">
      <c r="A47" t="s">
        <v>3</v>
      </c>
      <c r="B47" s="11">
        <f>Kovarianz!D4*B33</f>
        <v>2.1578230103216577E-5</v>
      </c>
      <c r="C47" s="11">
        <f>Kovarianz!B4*ERC!$B$31+Kovarianz!C4*ERC!$B$32+Kovarianz!E4*ERC!$B$34+Kovarianz!F4*ERC!$B$35+Kovarianz!G4*ERC!$B$36+Kovarianz!H4*ERC!$B$37+Kovarianz!I4*ERC!$B$38+Kovarianz!J4*ERC!$B$39+Kovarianz!K4*ERC!$B$40</f>
        <v>5.6068012505208687E-5</v>
      </c>
      <c r="D47">
        <f t="shared" si="3"/>
        <v>8.7382714723139542E-3</v>
      </c>
      <c r="E47">
        <f t="shared" si="4"/>
        <v>8.9425862405710101E-4</v>
      </c>
      <c r="I47" s="9"/>
    </row>
    <row r="48" spans="1:12">
      <c r="A48" t="s">
        <v>4</v>
      </c>
      <c r="B48" s="11">
        <f>Kovarianz!E5*B34</f>
        <v>3.4324450517359325E-5</v>
      </c>
      <c r="C48" s="11">
        <f>Kovarianz!B5*ERC!$B$31+Kovarianz!C5*ERC!$B$32+Kovarianz!D5*ERC!$B$33+Kovarianz!F5*ERC!$B$35+Kovarianz!G5*ERC!$B$36+Kovarianz!H5*ERC!$B$37+Kovarianz!I5*ERC!$B$38+Kovarianz!J5*ERC!$B$39+Kovarianz!K5*ERC!$B$40</f>
        <v>5.9338358219185245E-5</v>
      </c>
      <c r="D48">
        <f t="shared" si="3"/>
        <v>1.0540768260054054E-2</v>
      </c>
      <c r="E48">
        <f t="shared" si="4"/>
        <v>8.8782340188516354E-4</v>
      </c>
      <c r="I48" s="9"/>
    </row>
    <row r="49" spans="1:9">
      <c r="A49" t="s">
        <v>5</v>
      </c>
      <c r="B49" s="11">
        <f>Kovarianz!F6*B35</f>
        <v>3.8216849476977606E-5</v>
      </c>
      <c r="C49" s="11">
        <f>Kovarianz!B6*ERC!$B$31+Kovarianz!C6*ERC!$B$32+Kovarianz!D6*ERC!$B$33+Kovarianz!E6*ERC!$B$34+Kovarianz!G6*ERC!$B$36+Kovarianz!H6*ERC!$B$37+Kovarianz!I6*ERC!$B$38+Kovarianz!J6*ERC!$B$39+Kovarianz!K6*ERC!$B$40</f>
        <v>8.2397040294812087E-5</v>
      </c>
      <c r="D49">
        <f t="shared" si="3"/>
        <v>1.3573830191279425E-2</v>
      </c>
      <c r="E49">
        <f t="shared" si="4"/>
        <v>8.8943038133905688E-4</v>
      </c>
      <c r="I49" s="9"/>
    </row>
    <row r="50" spans="1:9">
      <c r="A50" t="s">
        <v>6</v>
      </c>
      <c r="B50" s="11">
        <f>Kovarianz!G7*B36</f>
        <v>6.5710852713366015E-5</v>
      </c>
      <c r="C50" s="11">
        <f>Kovarianz!B7*ERC!$B$31+Kovarianz!C7*ERC!$B$32+Kovarianz!D7*ERC!$B$33+Kovarianz!E7*ERC!$B$34+Kovarianz!F7*ERC!$B$35+Kovarianz!H7*ERC!$B$37+Kovarianz!I7*ERC!$B$38+Kovarianz!J7*ERC!$B$39+Kovarianz!K7*ERC!$B$40</f>
        <v>7.7835842269789222E-5</v>
      </c>
      <c r="D50">
        <f t="shared" si="3"/>
        <v>1.6154677259040358E-2</v>
      </c>
      <c r="E50">
        <f t="shared" si="4"/>
        <v>8.8846977039597869E-4</v>
      </c>
      <c r="I50" s="9"/>
    </row>
    <row r="51" spans="1:9">
      <c r="A51" t="s">
        <v>7</v>
      </c>
      <c r="B51" s="11">
        <f>Kovarianz!H8*B37</f>
        <v>2.4625561155442496E-5</v>
      </c>
      <c r="C51" s="11">
        <f>Kovarianz!B8*ERC!$B$31+Kovarianz!C8*ERC!$B$32+Kovarianz!D8*ERC!$B$33+Kovarianz!E8*ERC!$B$34+Kovarianz!F8*ERC!$B$35+Kovarianz!G8*ERC!$B$36+Kovarianz!I8*ERC!$B$38+Kovarianz!J8*ERC!$B$39+Kovarianz!K8*ERC!$B$40</f>
        <v>2.638124776243363E-5</v>
      </c>
      <c r="D51">
        <f t="shared" si="3"/>
        <v>5.7402821860755779E-3</v>
      </c>
      <c r="E51">
        <f t="shared" si="4"/>
        <v>9.037208093394119E-4</v>
      </c>
      <c r="I51" s="9"/>
    </row>
    <row r="52" spans="1:9">
      <c r="A52" t="s">
        <v>8</v>
      </c>
      <c r="B52" s="11">
        <f>Kovarianz!I9*B38</f>
        <v>3.6869228679247151E-5</v>
      </c>
      <c r="C52" s="11">
        <f>Kovarianz!B9*ERC!$B$31+Kovarianz!C9*ERC!$B$32+Kovarianz!D9*ERC!$B$33+Kovarianz!E9*ERC!$B$34+Kovarianz!F9*ERC!$B$35+Kovarianz!G9*ERC!$B$36+Kovarianz!H9*ERC!$B$37+Kovarianz!J9*ERC!$B$39+Kovarianz!K9*ERC!$B$40</f>
        <v>8.2588989999387566E-5</v>
      </c>
      <c r="D52">
        <f t="shared" si="3"/>
        <v>1.3443771512257162E-2</v>
      </c>
      <c r="E52">
        <f t="shared" si="4"/>
        <v>8.8631841394350294E-4</v>
      </c>
      <c r="I52" s="9"/>
    </row>
    <row r="53" spans="1:9">
      <c r="A53" t="s">
        <v>9</v>
      </c>
      <c r="B53" s="11">
        <f>Kovarianz!J10*B39</f>
        <v>6.9980510686626184E-5</v>
      </c>
      <c r="C53" s="11">
        <f>Kovarianz!B10*ERC!$B$31+Kovarianz!C10*ERC!$B$32+Kovarianz!D10*ERC!$B$33+Kovarianz!E10*ERC!$B$34+Kovarianz!F10*ERC!$B$35+Kovarianz!G10*ERC!$B$36+Kovarianz!H10*ERC!$B$37+Kovarianz!I10*ERC!$B$38+Kovarianz!K10*ERC!$B$40</f>
        <v>1.3485811868796063E-4</v>
      </c>
      <c r="D53">
        <f t="shared" si="3"/>
        <v>2.3052442608441436E-2</v>
      </c>
      <c r="E53">
        <f t="shared" si="4"/>
        <v>8.8846257690095877E-4</v>
      </c>
      <c r="I53" s="9"/>
    </row>
    <row r="54" spans="1:9">
      <c r="A54" t="s">
        <v>10</v>
      </c>
      <c r="B54" s="11">
        <f>Kovarianz!K11*B40</f>
        <v>2.1629839045483217E-5</v>
      </c>
      <c r="C54" s="11">
        <f>Kovarianz!B11*ERC!$B$31+Kovarianz!C11*ERC!$B$32+Kovarianz!D11*ERC!$B$33+Kovarianz!E11*ERC!$B$34+Kovarianz!F11*ERC!$B$35+Kovarianz!G11*ERC!$B$36+Kovarianz!H11*ERC!$B$37+Kovarianz!I11*ERC!$B$38+Kovarianz!J11*ERC!$B$39</f>
        <v>3.1971862476275629E-5</v>
      </c>
      <c r="D54">
        <f t="shared" si="3"/>
        <v>6.0323101741982946E-3</v>
      </c>
      <c r="E54">
        <f t="shared" si="4"/>
        <v>8.7085500120605253E-4</v>
      </c>
      <c r="I54" s="9"/>
    </row>
    <row r="56" spans="1:9">
      <c r="D56" t="s">
        <v>52</v>
      </c>
      <c r="E56">
        <f>SUM(E45:E54)/10</f>
        <v>8.8857668080508827E-4</v>
      </c>
    </row>
    <row r="57" spans="1:9">
      <c r="D57" t="s">
        <v>58</v>
      </c>
      <c r="E57" s="15">
        <f>(E45-E56)^2+(E46-E56)^2+(E47-E56)^2+(E48-E56)^2+(E49-E56)^2+(E50-E56)^2+(E51-E56)^2+(E52-E56)^2+(E53-E56)^2+(E54-E56)^2</f>
        <v>5.8869143208590892E-10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A2275-701C-49D2-875D-F0C7812B2C96}">
  <dimension ref="A1:V71"/>
  <sheetViews>
    <sheetView tabSelected="1" topLeftCell="A37" workbookViewId="0">
      <selection activeCell="M54" sqref="M54"/>
    </sheetView>
  </sheetViews>
  <sheetFormatPr baseColWidth="10" defaultRowHeight="15"/>
  <cols>
    <col min="1" max="1" width="15" bestFit="1" customWidth="1"/>
    <col min="21" max="21" width="15" bestFit="1" customWidth="1"/>
  </cols>
  <sheetData>
    <row r="1" spans="1:22"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M1" t="s">
        <v>38</v>
      </c>
      <c r="U1" s="5" t="s">
        <v>1</v>
      </c>
      <c r="V1" s="5">
        <v>0</v>
      </c>
    </row>
    <row r="2" spans="1:22">
      <c r="A2" t="s">
        <v>1</v>
      </c>
      <c r="B2">
        <v>0</v>
      </c>
      <c r="C2">
        <f>SQRT((1-Korrelation!C2)/2)</f>
        <v>0.69296099574921333</v>
      </c>
      <c r="D2">
        <f>SQRT((1-Korrelation!D2)/2)</f>
        <v>0.60260194744007756</v>
      </c>
      <c r="E2">
        <f>SQRT((1-Korrelation!E2)/2)</f>
        <v>0.61337844843919531</v>
      </c>
      <c r="F2">
        <f>SQRT((1-Korrelation!F2)/2)</f>
        <v>0.58546962001213776</v>
      </c>
      <c r="G2">
        <f>SQRT((1-Korrelation!G2)/2)</f>
        <v>0.61354667267323726</v>
      </c>
      <c r="H2">
        <f>SQRT((1-Korrelation!H2)/2)</f>
        <v>0.70342159235456381</v>
      </c>
      <c r="I2">
        <f>SQRT((1-Korrelation!I2)/2)</f>
        <v>0.59428627902217224</v>
      </c>
      <c r="J2">
        <f>SQRT((1-Korrelation!J2)/2)</f>
        <v>0.56213518204384572</v>
      </c>
      <c r="K2">
        <f>SQRT((1-Korrelation!K2)/2)</f>
        <v>0.63927193200263677</v>
      </c>
      <c r="M2">
        <f>MIN(C2:K2)</f>
        <v>0.56213518204384572</v>
      </c>
      <c r="U2" s="5" t="s">
        <v>2</v>
      </c>
      <c r="V2" s="5">
        <v>1</v>
      </c>
    </row>
    <row r="3" spans="1:22">
      <c r="A3" t="s">
        <v>2</v>
      </c>
      <c r="B3">
        <f>SQRT((1-Korrelation!B3)/2)</f>
        <v>0.69296099574921333</v>
      </c>
      <c r="C3">
        <v>0</v>
      </c>
      <c r="D3">
        <f>SQRT((1-Korrelation!D3)/2)</f>
        <v>0.7174676731090206</v>
      </c>
      <c r="E3">
        <f>SQRT((1-Korrelation!E3)/2)</f>
        <v>0.71540096674038689</v>
      </c>
      <c r="F3">
        <f>SQRT((1-Korrelation!F3)/2)</f>
        <v>0.65107117380943103</v>
      </c>
      <c r="G3">
        <f>SQRT((1-Korrelation!G3)/2)</f>
        <v>0.78631131583638758</v>
      </c>
      <c r="H3">
        <f>SQRT((1-Korrelation!H3)/2)</f>
        <v>0.44591528303077399</v>
      </c>
      <c r="I3">
        <f>SQRT((1-Korrelation!I3)/2)</f>
        <v>0.65992245241301939</v>
      </c>
      <c r="J3">
        <f>SQRT((1-Korrelation!J3)/2)</f>
        <v>0.7316558326653182</v>
      </c>
      <c r="K3">
        <f>SQRT((1-Korrelation!K3)/2)</f>
        <v>0.58498749314662402</v>
      </c>
      <c r="M3" s="13">
        <f>MIN(B3,D3:K3)</f>
        <v>0.44591528303077399</v>
      </c>
      <c r="O3" t="s">
        <v>2</v>
      </c>
      <c r="P3" t="s">
        <v>7</v>
      </c>
      <c r="Q3">
        <v>1</v>
      </c>
      <c r="R3">
        <v>6</v>
      </c>
      <c r="S3">
        <v>10</v>
      </c>
      <c r="U3" s="5" t="s">
        <v>3</v>
      </c>
      <c r="V3" s="5">
        <v>2</v>
      </c>
    </row>
    <row r="4" spans="1:22">
      <c r="A4" t="s">
        <v>3</v>
      </c>
      <c r="B4">
        <f>SQRT((1-Korrelation!B4)/2)</f>
        <v>0.60260194744007756</v>
      </c>
      <c r="C4">
        <f>SQRT((1-Korrelation!C4)/2)</f>
        <v>0.7174676731090206</v>
      </c>
      <c r="D4">
        <v>0</v>
      </c>
      <c r="E4">
        <f>SQRT((1-Korrelation!E4)/2)</f>
        <v>0.50854622210053169</v>
      </c>
      <c r="F4">
        <f>SQRT((1-Korrelation!F4)/2)</f>
        <v>0.62228834295980517</v>
      </c>
      <c r="G4">
        <f>SQRT((1-Korrelation!G4)/2)</f>
        <v>0.46637834719996329</v>
      </c>
      <c r="H4">
        <f>SQRT((1-Korrelation!H4)/2)</f>
        <v>0.7105739023459946</v>
      </c>
      <c r="I4">
        <f>SQRT((1-Korrelation!I4)/2)</f>
        <v>0.61651501186667501</v>
      </c>
      <c r="J4">
        <f>SQRT((1-Korrelation!J4)/2)</f>
        <v>0.54177697146845993</v>
      </c>
      <c r="K4">
        <f>SQRT((1-Korrelation!K4)/2)</f>
        <v>0.66645094072418531</v>
      </c>
      <c r="M4">
        <f>MIN(B4:C4,E4:K4)</f>
        <v>0.46637834719996329</v>
      </c>
      <c r="U4" s="5" t="s">
        <v>4</v>
      </c>
      <c r="V4" s="5">
        <v>3</v>
      </c>
    </row>
    <row r="5" spans="1:22">
      <c r="A5" t="s">
        <v>4</v>
      </c>
      <c r="B5">
        <f>SQRT((1-Korrelation!B5)/2)</f>
        <v>0.61337844843919531</v>
      </c>
      <c r="C5">
        <f>SQRT((1-Korrelation!C5)/2)</f>
        <v>0.71540096674038689</v>
      </c>
      <c r="D5">
        <f>SQRT((1-Korrelation!D5)/2)</f>
        <v>0.50854622210053169</v>
      </c>
      <c r="E5">
        <v>0</v>
      </c>
      <c r="F5">
        <f>SQRT((1-Korrelation!F5)/2)</f>
        <v>0.65513588810519796</v>
      </c>
      <c r="G5">
        <f>SQRT((1-Korrelation!G5)/2)</f>
        <v>0.51818916853947627</v>
      </c>
      <c r="H5">
        <f>SQRT((1-Korrelation!H5)/2)</f>
        <v>0.73379853409827811</v>
      </c>
      <c r="I5">
        <f>SQRT((1-Korrelation!I5)/2)</f>
        <v>0.64700282234066386</v>
      </c>
      <c r="J5">
        <f>SQRT((1-Korrelation!J5)/2)</f>
        <v>0.59151315583313957</v>
      </c>
      <c r="K5">
        <f>SQRT((1-Korrelation!K5)/2)</f>
        <v>0.6716326466478445</v>
      </c>
      <c r="M5">
        <f>MIN(B5:D5,F5:K5)</f>
        <v>0.50854622210053169</v>
      </c>
      <c r="U5" s="5" t="s">
        <v>5</v>
      </c>
      <c r="V5" s="5">
        <v>4</v>
      </c>
    </row>
    <row r="6" spans="1:22">
      <c r="A6" t="s">
        <v>5</v>
      </c>
      <c r="B6">
        <f>SQRT((1-Korrelation!B6)/2)</f>
        <v>0.58546962001213776</v>
      </c>
      <c r="C6">
        <f>SQRT((1-Korrelation!C6)/2)</f>
        <v>0.65107117380943103</v>
      </c>
      <c r="D6">
        <f>SQRT((1-Korrelation!D6)/2)</f>
        <v>0.62228834295980517</v>
      </c>
      <c r="E6">
        <f>SQRT((1-Korrelation!E6)/2)</f>
        <v>0.65513588810519796</v>
      </c>
      <c r="F6">
        <v>0</v>
      </c>
      <c r="G6">
        <f>SQRT((1-Korrelation!G6)/2)</f>
        <v>0.65919384925678837</v>
      </c>
      <c r="H6">
        <f>SQRT((1-Korrelation!H6)/2)</f>
        <v>0.62139091655059286</v>
      </c>
      <c r="I6">
        <f>SQRT((1-Korrelation!I6)/2)</f>
        <v>0.53666370157526899</v>
      </c>
      <c r="J6">
        <f>SQRT((1-Korrelation!J6)/2)</f>
        <v>0.62967590783346683</v>
      </c>
      <c r="K6">
        <f>SQRT((1-Korrelation!K6)/2)</f>
        <v>0.64263163912009436</v>
      </c>
      <c r="M6">
        <f>MIN(B6:E6,G6:K6)</f>
        <v>0.53666370157526899</v>
      </c>
      <c r="U6" s="5" t="s">
        <v>6</v>
      </c>
      <c r="V6" s="5">
        <v>5</v>
      </c>
    </row>
    <row r="7" spans="1:22">
      <c r="A7" t="s">
        <v>6</v>
      </c>
      <c r="B7">
        <f>SQRT((1-Korrelation!B7)/2)</f>
        <v>0.61354667267323726</v>
      </c>
      <c r="C7">
        <f>SQRT((1-Korrelation!C7)/2)</f>
        <v>0.78631131583638758</v>
      </c>
      <c r="D7">
        <f>SQRT((1-Korrelation!D7)/2)</f>
        <v>0.46637834719996329</v>
      </c>
      <c r="E7">
        <f>SQRT((1-Korrelation!E7)/2)</f>
        <v>0.51818916853947627</v>
      </c>
      <c r="F7">
        <f>SQRT((1-Korrelation!F7)/2)</f>
        <v>0.65919384925678837</v>
      </c>
      <c r="G7">
        <v>0</v>
      </c>
      <c r="H7">
        <f>SQRT((1-Korrelation!H7)/2)</f>
        <v>0.76908787344837748</v>
      </c>
      <c r="I7">
        <f>SQRT((1-Korrelation!I7)/2)</f>
        <v>0.62542436235509691</v>
      </c>
      <c r="J7">
        <f>SQRT((1-Korrelation!J7)/2)</f>
        <v>0.56207923877563193</v>
      </c>
      <c r="K7">
        <f>SQRT((1-Korrelation!K7)/2)</f>
        <v>0.71971442415173859</v>
      </c>
      <c r="M7">
        <f>MIN(B7:F7,H7:K7)</f>
        <v>0.46637834719996329</v>
      </c>
      <c r="U7" s="5" t="s">
        <v>7</v>
      </c>
      <c r="V7" s="5">
        <v>6</v>
      </c>
    </row>
    <row r="8" spans="1:22">
      <c r="A8" t="s">
        <v>7</v>
      </c>
      <c r="B8">
        <f>SQRT((1-Korrelation!B8)/2)</f>
        <v>0.70342159235456381</v>
      </c>
      <c r="C8">
        <f>SQRT((1-Korrelation!C8)/2)</f>
        <v>0.44591528303077399</v>
      </c>
      <c r="D8">
        <f>SQRT((1-Korrelation!D8)/2)</f>
        <v>0.7105739023459946</v>
      </c>
      <c r="E8">
        <f>SQRT((1-Korrelation!E8)/2)</f>
        <v>0.73379853409827811</v>
      </c>
      <c r="F8">
        <f>SQRT((1-Korrelation!F8)/2)</f>
        <v>0.62139091655059286</v>
      </c>
      <c r="G8">
        <f>SQRT((1-Korrelation!G8)/2)</f>
        <v>0.76908787344837748</v>
      </c>
      <c r="H8">
        <v>0</v>
      </c>
      <c r="I8">
        <f>SQRT((1-Korrelation!I8)/2)</f>
        <v>0.64091539554308408</v>
      </c>
      <c r="J8">
        <f>SQRT((1-Korrelation!J8)/2)</f>
        <v>0.70466766298152661</v>
      </c>
      <c r="K8">
        <f>SQRT((1-Korrelation!K8)/2)</f>
        <v>0.55969523741374716</v>
      </c>
      <c r="M8">
        <f>MIN(B8:G8,I8:K8)</f>
        <v>0.44591528303077399</v>
      </c>
      <c r="U8" s="5" t="s">
        <v>8</v>
      </c>
      <c r="V8" s="5">
        <v>7</v>
      </c>
    </row>
    <row r="9" spans="1:22">
      <c r="A9" t="s">
        <v>8</v>
      </c>
      <c r="B9">
        <f>SQRT((1-Korrelation!B9)/2)</f>
        <v>0.59428627902217224</v>
      </c>
      <c r="C9">
        <f>SQRT((1-Korrelation!C9)/2)</f>
        <v>0.65992245241301939</v>
      </c>
      <c r="D9">
        <f>SQRT((1-Korrelation!D9)/2)</f>
        <v>0.61651501186667501</v>
      </c>
      <c r="E9">
        <f>SQRT((1-Korrelation!E9)/2)</f>
        <v>0.64700282234066386</v>
      </c>
      <c r="F9">
        <f>SQRT((1-Korrelation!F9)/2)</f>
        <v>0.53666370157526899</v>
      </c>
      <c r="G9">
        <f>SQRT((1-Korrelation!G9)/2)</f>
        <v>0.62542436235509691</v>
      </c>
      <c r="H9">
        <f>SQRT((1-Korrelation!H9)/2)</f>
        <v>0.64091539554308408</v>
      </c>
      <c r="I9">
        <v>0</v>
      </c>
      <c r="J9">
        <f>SQRT((1-Korrelation!J9)/2)</f>
        <v>0.61041165338773518</v>
      </c>
      <c r="K9">
        <f>SQRT((1-Korrelation!K9)/2)</f>
        <v>0.65359537850343763</v>
      </c>
      <c r="M9">
        <f>MIN(B9:H9,J9:K9)</f>
        <v>0.53666370157526899</v>
      </c>
      <c r="U9" s="5" t="s">
        <v>9</v>
      </c>
      <c r="V9" s="5">
        <v>8</v>
      </c>
    </row>
    <row r="10" spans="1:22">
      <c r="A10" t="s">
        <v>9</v>
      </c>
      <c r="B10">
        <f>SQRT((1-Korrelation!B10)/2)</f>
        <v>0.56213518204384572</v>
      </c>
      <c r="C10">
        <f>SQRT((1-Korrelation!C10)/2)</f>
        <v>0.7316558326653182</v>
      </c>
      <c r="D10">
        <f>SQRT((1-Korrelation!D10)/2)</f>
        <v>0.54177697146845993</v>
      </c>
      <c r="E10">
        <f>SQRT((1-Korrelation!E10)/2)</f>
        <v>0.59151315583313957</v>
      </c>
      <c r="F10">
        <f>SQRT((1-Korrelation!F10)/2)</f>
        <v>0.62967590783346683</v>
      </c>
      <c r="G10">
        <f>SQRT((1-Korrelation!G10)/2)</f>
        <v>0.56207923877563193</v>
      </c>
      <c r="H10">
        <f>SQRT((1-Korrelation!H10)/2)</f>
        <v>0.70466766298152661</v>
      </c>
      <c r="I10">
        <f>SQRT((1-Korrelation!I10)/2)</f>
        <v>0.61041165338773518</v>
      </c>
      <c r="J10">
        <v>0</v>
      </c>
      <c r="K10">
        <f>SQRT((1-Korrelation!K10)/2)</f>
        <v>0.67475350327047334</v>
      </c>
      <c r="M10">
        <f>MIN(B10:I10,K10)</f>
        <v>0.54177697146845993</v>
      </c>
      <c r="U10" s="12" t="s">
        <v>10</v>
      </c>
      <c r="V10" s="12">
        <v>9</v>
      </c>
    </row>
    <row r="11" spans="1:22">
      <c r="A11" t="s">
        <v>10</v>
      </c>
      <c r="B11">
        <f>SQRT((1-Korrelation!B11)/2)</f>
        <v>0.63927193200263677</v>
      </c>
      <c r="C11">
        <f>SQRT((1-Korrelation!C11)/2)</f>
        <v>0.58498749314662402</v>
      </c>
      <c r="D11">
        <f>SQRT((1-Korrelation!D11)/2)</f>
        <v>0.66645094072418531</v>
      </c>
      <c r="E11">
        <f>SQRT((1-Korrelation!E11)/2)</f>
        <v>0.6716326466478445</v>
      </c>
      <c r="F11">
        <f>SQRT((1-Korrelation!F11)/2)</f>
        <v>0.64263163912009436</v>
      </c>
      <c r="G11">
        <f>SQRT((1-Korrelation!G11)/2)</f>
        <v>0.71971442415173859</v>
      </c>
      <c r="H11">
        <f>SQRT((1-Korrelation!H11)/2)</f>
        <v>0.55969523741374716</v>
      </c>
      <c r="I11">
        <f>SQRT((1-Korrelation!I11)/2)</f>
        <v>0.65359537850343763</v>
      </c>
      <c r="J11">
        <f>SQRT((1-Korrelation!J11)/2)</f>
        <v>0.67475350327047334</v>
      </c>
      <c r="K11">
        <v>0</v>
      </c>
      <c r="M11">
        <f>MIN(B11:J11)</f>
        <v>0.55969523741374716</v>
      </c>
      <c r="U11" s="5" t="s">
        <v>39</v>
      </c>
      <c r="V11" s="5">
        <v>10</v>
      </c>
    </row>
    <row r="12" spans="1:22">
      <c r="U12" s="5" t="s">
        <v>40</v>
      </c>
      <c r="V12" s="5">
        <v>11</v>
      </c>
    </row>
    <row r="13" spans="1:22">
      <c r="B13" t="s">
        <v>1</v>
      </c>
      <c r="C13" t="s">
        <v>3</v>
      </c>
      <c r="D13" t="s">
        <v>4</v>
      </c>
      <c r="E13" t="s">
        <v>5</v>
      </c>
      <c r="F13" t="s">
        <v>6</v>
      </c>
      <c r="G13" t="s">
        <v>8</v>
      </c>
      <c r="H13" t="s">
        <v>9</v>
      </c>
      <c r="I13" t="s">
        <v>10</v>
      </c>
      <c r="J13" t="s">
        <v>39</v>
      </c>
      <c r="U13" s="5" t="s">
        <v>41</v>
      </c>
      <c r="V13" s="5">
        <v>12</v>
      </c>
    </row>
    <row r="14" spans="1:22">
      <c r="A14" t="s">
        <v>1</v>
      </c>
      <c r="B14">
        <v>0</v>
      </c>
      <c r="C14">
        <v>0.60260194744007756</v>
      </c>
      <c r="D14">
        <v>0.61337844843919531</v>
      </c>
      <c r="E14">
        <v>0.58546962001213776</v>
      </c>
      <c r="F14">
        <v>0.61354667267323726</v>
      </c>
      <c r="G14">
        <v>0.59428627902217224</v>
      </c>
      <c r="H14">
        <v>0.56213518204384572</v>
      </c>
      <c r="I14">
        <v>0.63927193200263677</v>
      </c>
      <c r="J14">
        <v>0.69296099574921333</v>
      </c>
      <c r="M14">
        <f>MIN(C14:K14)</f>
        <v>0.56213518204384572</v>
      </c>
      <c r="U14" s="5" t="s">
        <v>42</v>
      </c>
      <c r="V14" s="5">
        <v>13</v>
      </c>
    </row>
    <row r="15" spans="1:22">
      <c r="A15" t="s">
        <v>3</v>
      </c>
      <c r="B15">
        <v>0.60260194744007756</v>
      </c>
      <c r="C15">
        <v>0</v>
      </c>
      <c r="D15">
        <v>0.50854622210053169</v>
      </c>
      <c r="E15">
        <v>0.62228834295980517</v>
      </c>
      <c r="F15">
        <v>0.46637834719996329</v>
      </c>
      <c r="G15">
        <v>0.61651501186667501</v>
      </c>
      <c r="H15">
        <v>0.54177697146845993</v>
      </c>
      <c r="I15">
        <v>0.66645094072418531</v>
      </c>
      <c r="J15">
        <v>0.7105739023459946</v>
      </c>
      <c r="M15" s="13">
        <f>MIN(B15,D15:K15)</f>
        <v>0.46637834719996329</v>
      </c>
      <c r="O15" t="s">
        <v>3</v>
      </c>
      <c r="P15" t="s">
        <v>6</v>
      </c>
      <c r="Q15">
        <v>2</v>
      </c>
      <c r="R15">
        <v>5</v>
      </c>
      <c r="S15">
        <v>11</v>
      </c>
      <c r="U15" s="5" t="s">
        <v>43</v>
      </c>
      <c r="V15" s="5">
        <v>14</v>
      </c>
    </row>
    <row r="16" spans="1:22">
      <c r="A16" t="s">
        <v>4</v>
      </c>
      <c r="B16">
        <v>0.61337844843919531</v>
      </c>
      <c r="C16">
        <v>0.50854622210053169</v>
      </c>
      <c r="D16">
        <v>0</v>
      </c>
      <c r="E16">
        <v>0.65513588810519796</v>
      </c>
      <c r="F16">
        <v>0.51818916853947627</v>
      </c>
      <c r="G16">
        <v>0.64700282234066386</v>
      </c>
      <c r="H16">
        <v>0.59151315583313957</v>
      </c>
      <c r="I16">
        <v>0.6716326466478445</v>
      </c>
      <c r="J16">
        <v>0.71540096674038689</v>
      </c>
      <c r="M16">
        <f>MIN(B16:C16,E16:K16)</f>
        <v>0.50854622210053169</v>
      </c>
      <c r="U16" s="5" t="s">
        <v>44</v>
      </c>
      <c r="V16" s="5">
        <v>15</v>
      </c>
    </row>
    <row r="17" spans="1:22">
      <c r="A17" t="s">
        <v>5</v>
      </c>
      <c r="B17">
        <v>0.58546962001213776</v>
      </c>
      <c r="C17">
        <v>0.62228834295980517</v>
      </c>
      <c r="D17">
        <v>0.65513588810519796</v>
      </c>
      <c r="E17">
        <v>0</v>
      </c>
      <c r="F17">
        <v>0.65919384925678837</v>
      </c>
      <c r="G17">
        <v>0.53666370157526899</v>
      </c>
      <c r="H17">
        <v>0.62967590783346683</v>
      </c>
      <c r="I17">
        <v>0.64263163912009436</v>
      </c>
      <c r="J17">
        <v>0.62139091655059286</v>
      </c>
      <c r="M17">
        <f>MIN(B17:D17,F17:K17)</f>
        <v>0.53666370157526899</v>
      </c>
      <c r="U17" s="5" t="s">
        <v>45</v>
      </c>
      <c r="V17" s="5">
        <v>16</v>
      </c>
    </row>
    <row r="18" spans="1:22">
      <c r="A18" t="s">
        <v>6</v>
      </c>
      <c r="B18">
        <v>0.61354667267323726</v>
      </c>
      <c r="C18">
        <v>0.46637834719996329</v>
      </c>
      <c r="D18">
        <v>0.51818916853947627</v>
      </c>
      <c r="E18">
        <v>0.65919384925678837</v>
      </c>
      <c r="F18">
        <v>0</v>
      </c>
      <c r="G18">
        <v>0.62542436235509691</v>
      </c>
      <c r="H18">
        <v>0.56207923877563193</v>
      </c>
      <c r="I18">
        <v>0.71971442415173859</v>
      </c>
      <c r="J18">
        <v>0.76908787344837748</v>
      </c>
      <c r="M18">
        <f>MIN(B18:E18,G18:K18)</f>
        <v>0.46637834719996329</v>
      </c>
      <c r="U18" s="5" t="s">
        <v>46</v>
      </c>
      <c r="V18" s="5">
        <v>17</v>
      </c>
    </row>
    <row r="19" spans="1:22">
      <c r="A19" t="s">
        <v>8</v>
      </c>
      <c r="B19">
        <v>0.59428627902217224</v>
      </c>
      <c r="C19">
        <v>0.61651501186667501</v>
      </c>
      <c r="D19">
        <v>0.64700282234066386</v>
      </c>
      <c r="E19">
        <v>0.53666370157526899</v>
      </c>
      <c r="F19">
        <v>0.62542436235509691</v>
      </c>
      <c r="G19">
        <v>0</v>
      </c>
      <c r="H19">
        <v>0.61041165338773518</v>
      </c>
      <c r="I19">
        <v>0.65359537850343763</v>
      </c>
      <c r="J19">
        <v>0.64091539554308408</v>
      </c>
      <c r="M19">
        <f>MIN(B19:F19,H19:K19)</f>
        <v>0.53666370157526899</v>
      </c>
    </row>
    <row r="20" spans="1:22">
      <c r="A20" t="s">
        <v>9</v>
      </c>
      <c r="B20">
        <v>0.56213518204384572</v>
      </c>
      <c r="C20">
        <v>0.54177697146845993</v>
      </c>
      <c r="D20">
        <v>0.59151315583313957</v>
      </c>
      <c r="E20">
        <v>0.62967590783346683</v>
      </c>
      <c r="F20">
        <v>0.56207923877563193</v>
      </c>
      <c r="G20">
        <v>0.61041165338773518</v>
      </c>
      <c r="H20">
        <v>0</v>
      </c>
      <c r="I20">
        <v>0.67475350327047334</v>
      </c>
      <c r="J20">
        <v>0.70466766298152661</v>
      </c>
      <c r="M20">
        <f>MIN(B20:G20,I20:K20)</f>
        <v>0.54177697146845993</v>
      </c>
    </row>
    <row r="21" spans="1:22">
      <c r="A21" t="s">
        <v>10</v>
      </c>
      <c r="B21">
        <v>0.63927193200263677</v>
      </c>
      <c r="C21">
        <v>0.66645094072418531</v>
      </c>
      <c r="D21">
        <v>0.6716326466478445</v>
      </c>
      <c r="E21">
        <v>0.64263163912009436</v>
      </c>
      <c r="F21">
        <v>0.71971442415173859</v>
      </c>
      <c r="G21">
        <v>0.65359537850343763</v>
      </c>
      <c r="H21">
        <v>0.67475350327047334</v>
      </c>
      <c r="I21">
        <v>0</v>
      </c>
      <c r="J21">
        <v>0.55969523741374716</v>
      </c>
      <c r="M21">
        <f>MIN(B21:H21,J21:K21)</f>
        <v>0.55969523741374716</v>
      </c>
    </row>
    <row r="22" spans="1:22">
      <c r="A22" t="s">
        <v>39</v>
      </c>
      <c r="B22">
        <f>C2</f>
        <v>0.69296099574921333</v>
      </c>
      <c r="C22">
        <f>H4</f>
        <v>0.7105739023459946</v>
      </c>
      <c r="D22">
        <f>C5</f>
        <v>0.71540096674038689</v>
      </c>
      <c r="E22">
        <f>H6</f>
        <v>0.62139091655059286</v>
      </c>
      <c r="F22">
        <f>H7</f>
        <v>0.76908787344837748</v>
      </c>
      <c r="G22">
        <f>H9</f>
        <v>0.64091539554308408</v>
      </c>
      <c r="H22">
        <f>H10</f>
        <v>0.70466766298152661</v>
      </c>
      <c r="I22">
        <f>H11</f>
        <v>0.55969523741374716</v>
      </c>
      <c r="J22">
        <v>0</v>
      </c>
      <c r="M22">
        <f>MIN(B22:I22,K22)</f>
        <v>0.55969523741374716</v>
      </c>
    </row>
    <row r="24" spans="1:22">
      <c r="B24" t="s">
        <v>1</v>
      </c>
      <c r="C24" t="s">
        <v>4</v>
      </c>
      <c r="D24" t="s">
        <v>5</v>
      </c>
      <c r="E24" t="s">
        <v>8</v>
      </c>
      <c r="F24" t="s">
        <v>9</v>
      </c>
      <c r="G24" t="s">
        <v>10</v>
      </c>
      <c r="H24" t="s">
        <v>39</v>
      </c>
      <c r="I24" t="s">
        <v>40</v>
      </c>
    </row>
    <row r="25" spans="1:22">
      <c r="A25" t="s">
        <v>1</v>
      </c>
      <c r="B25">
        <v>0</v>
      </c>
      <c r="C25">
        <v>0.61337844843919531</v>
      </c>
      <c r="D25">
        <v>0.58546962001213776</v>
      </c>
      <c r="E25">
        <v>0.59428627902217224</v>
      </c>
      <c r="F25">
        <v>0.56213518204384572</v>
      </c>
      <c r="G25">
        <v>0.63927193200263677</v>
      </c>
      <c r="H25">
        <v>0.69296099574921333</v>
      </c>
      <c r="I25">
        <v>0.60260194744007756</v>
      </c>
      <c r="M25">
        <f>MIN(C25:K25)</f>
        <v>0.56213518204384572</v>
      </c>
    </row>
    <row r="26" spans="1:22">
      <c r="A26" t="s">
        <v>4</v>
      </c>
      <c r="B26">
        <v>0.61337844843919531</v>
      </c>
      <c r="C26">
        <v>0</v>
      </c>
      <c r="D26">
        <v>0.65513588810519796</v>
      </c>
      <c r="E26">
        <v>0.64700282234066386</v>
      </c>
      <c r="F26">
        <v>0.59151315583313957</v>
      </c>
      <c r="G26">
        <v>0.6716326466478445</v>
      </c>
      <c r="H26">
        <v>0.71540096674038689</v>
      </c>
      <c r="I26">
        <v>0.50854622210053169</v>
      </c>
      <c r="M26" s="13">
        <f>MIN(B26,D26:K26)</f>
        <v>0.50854622210053169</v>
      </c>
      <c r="O26" t="s">
        <v>4</v>
      </c>
      <c r="P26" t="s">
        <v>40</v>
      </c>
      <c r="Q26">
        <v>3</v>
      </c>
      <c r="R26">
        <v>11</v>
      </c>
      <c r="S26">
        <v>12</v>
      </c>
    </row>
    <row r="27" spans="1:22">
      <c r="A27" t="s">
        <v>5</v>
      </c>
      <c r="B27">
        <v>0.58546962001213776</v>
      </c>
      <c r="C27">
        <v>0.65513588810519796</v>
      </c>
      <c r="D27">
        <v>0</v>
      </c>
      <c r="E27">
        <v>0.53666370157526899</v>
      </c>
      <c r="F27">
        <v>0.62967590783346683</v>
      </c>
      <c r="G27">
        <v>0.64263163912009436</v>
      </c>
      <c r="H27">
        <v>0.62139091655059286</v>
      </c>
      <c r="I27">
        <v>0.62228834295980517</v>
      </c>
      <c r="M27">
        <f>MIN(B27:C27,E27:K27)</f>
        <v>0.53666370157526899</v>
      </c>
    </row>
    <row r="28" spans="1:22">
      <c r="A28" t="s">
        <v>8</v>
      </c>
      <c r="B28">
        <v>0.59428627902217224</v>
      </c>
      <c r="C28">
        <v>0.64700282234066386</v>
      </c>
      <c r="D28">
        <v>0.53666370157526899</v>
      </c>
      <c r="E28">
        <v>0</v>
      </c>
      <c r="F28">
        <v>0.61041165338773518</v>
      </c>
      <c r="G28">
        <v>0.65359537850343763</v>
      </c>
      <c r="H28">
        <v>0.64091539554308408</v>
      </c>
      <c r="I28">
        <v>0.61651501186667501</v>
      </c>
      <c r="M28">
        <f>MIN(B28:D28,F28:K28)</f>
        <v>0.53666370157526899</v>
      </c>
    </row>
    <row r="29" spans="1:22">
      <c r="A29" t="s">
        <v>9</v>
      </c>
      <c r="B29">
        <v>0.56213518204384572</v>
      </c>
      <c r="C29">
        <v>0.59151315583313957</v>
      </c>
      <c r="D29">
        <v>0.62967590783346683</v>
      </c>
      <c r="E29">
        <v>0.61041165338773518</v>
      </c>
      <c r="F29">
        <v>0</v>
      </c>
      <c r="G29">
        <v>0.67475350327047334</v>
      </c>
      <c r="H29">
        <v>0.70466766298152661</v>
      </c>
      <c r="I29">
        <v>0.54177697146845993</v>
      </c>
      <c r="M29">
        <f>MIN(B29:E29,G29:K29)</f>
        <v>0.54177697146845993</v>
      </c>
    </row>
    <row r="30" spans="1:22">
      <c r="A30" t="s">
        <v>10</v>
      </c>
      <c r="B30">
        <v>0.63927193200263677</v>
      </c>
      <c r="C30">
        <v>0.6716326466478445</v>
      </c>
      <c r="D30">
        <v>0.64263163912009436</v>
      </c>
      <c r="E30">
        <v>0.65359537850343763</v>
      </c>
      <c r="F30">
        <v>0.67475350327047334</v>
      </c>
      <c r="G30">
        <v>0</v>
      </c>
      <c r="H30">
        <v>0.55969523741374716</v>
      </c>
      <c r="I30">
        <v>0.66645094072418531</v>
      </c>
      <c r="M30">
        <f>MIN(B30:F30,H30:K30)</f>
        <v>0.55969523741374716</v>
      </c>
    </row>
    <row r="31" spans="1:22">
      <c r="A31" t="s">
        <v>39</v>
      </c>
      <c r="B31">
        <v>0.69296099574921333</v>
      </c>
      <c r="C31">
        <v>0.71540096674038689</v>
      </c>
      <c r="D31">
        <v>0.62139091655059286</v>
      </c>
      <c r="E31">
        <v>0.64091539554308408</v>
      </c>
      <c r="F31">
        <v>0.70466766298152661</v>
      </c>
      <c r="G31">
        <v>0.55969523741374716</v>
      </c>
      <c r="H31">
        <v>0</v>
      </c>
      <c r="I31">
        <v>0.7105739023459946</v>
      </c>
      <c r="M31">
        <f>MIN(B31:G31,I31:K31)</f>
        <v>0.55969523741374716</v>
      </c>
    </row>
    <row r="32" spans="1:22">
      <c r="A32" t="s">
        <v>40</v>
      </c>
      <c r="B32">
        <f>C14</f>
        <v>0.60260194744007756</v>
      </c>
      <c r="C32">
        <f>C16</f>
        <v>0.50854622210053169</v>
      </c>
      <c r="D32">
        <f>C17</f>
        <v>0.62228834295980517</v>
      </c>
      <c r="E32">
        <f>C19</f>
        <v>0.61651501186667501</v>
      </c>
      <c r="F32">
        <f>C20</f>
        <v>0.54177697146845993</v>
      </c>
      <c r="G32">
        <f>C21</f>
        <v>0.66645094072418531</v>
      </c>
      <c r="H32">
        <f>C22</f>
        <v>0.7105739023459946</v>
      </c>
      <c r="I32">
        <v>0</v>
      </c>
      <c r="M32">
        <f>MIN(B32:H32,J32:K32)</f>
        <v>0.50854622210053169</v>
      </c>
    </row>
    <row r="34" spans="1:19">
      <c r="B34" t="s">
        <v>1</v>
      </c>
      <c r="C34" t="s">
        <v>5</v>
      </c>
      <c r="D34" t="s">
        <v>8</v>
      </c>
      <c r="E34" t="s">
        <v>9</v>
      </c>
      <c r="F34" t="s">
        <v>10</v>
      </c>
      <c r="G34" t="s">
        <v>39</v>
      </c>
      <c r="H34" t="s">
        <v>41</v>
      </c>
    </row>
    <row r="35" spans="1:19">
      <c r="A35" t="s">
        <v>1</v>
      </c>
      <c r="B35">
        <v>0</v>
      </c>
      <c r="C35">
        <v>0.58546962001213776</v>
      </c>
      <c r="D35">
        <v>0.59428627902217224</v>
      </c>
      <c r="E35">
        <v>0.56213518204384572</v>
      </c>
      <c r="F35">
        <v>0.63927193200263677</v>
      </c>
      <c r="G35">
        <v>0.69296099574921333</v>
      </c>
      <c r="H35">
        <v>0.60260194744007756</v>
      </c>
      <c r="M35">
        <f>MIN(C35:K35)</f>
        <v>0.56213518204384572</v>
      </c>
    </row>
    <row r="36" spans="1:19">
      <c r="A36" t="s">
        <v>5</v>
      </c>
      <c r="B36">
        <v>0.58546962001213776</v>
      </c>
      <c r="C36">
        <v>0</v>
      </c>
      <c r="D36">
        <v>0.53666370157526899</v>
      </c>
      <c r="E36">
        <v>0.62967590783346683</v>
      </c>
      <c r="F36">
        <v>0.64263163912009436</v>
      </c>
      <c r="G36">
        <v>0.62139091655059286</v>
      </c>
      <c r="H36">
        <v>0.62228834295980517</v>
      </c>
      <c r="M36" s="13">
        <f>MIN(B36,D36:K36)</f>
        <v>0.53666370157526899</v>
      </c>
      <c r="O36" t="s">
        <v>5</v>
      </c>
      <c r="P36" t="s">
        <v>8</v>
      </c>
      <c r="Q36">
        <v>4</v>
      </c>
      <c r="R36">
        <v>7</v>
      </c>
      <c r="S36">
        <v>13</v>
      </c>
    </row>
    <row r="37" spans="1:19">
      <c r="A37" t="s">
        <v>8</v>
      </c>
      <c r="B37">
        <v>0.59428627902217224</v>
      </c>
      <c r="C37">
        <v>0.53666370157526899</v>
      </c>
      <c r="D37">
        <v>0</v>
      </c>
      <c r="E37">
        <v>0.61041165338773518</v>
      </c>
      <c r="F37">
        <v>0.65359537850343763</v>
      </c>
      <c r="G37">
        <v>0.64091539554308408</v>
      </c>
      <c r="H37">
        <v>0.61651501186667501</v>
      </c>
      <c r="M37">
        <f>MIN(B37:C37,E37:K37)</f>
        <v>0.53666370157526899</v>
      </c>
    </row>
    <row r="38" spans="1:19">
      <c r="A38" t="s">
        <v>9</v>
      </c>
      <c r="B38">
        <v>0.56213518204384572</v>
      </c>
      <c r="C38">
        <v>0.62967590783346683</v>
      </c>
      <c r="D38">
        <v>0.61041165338773518</v>
      </c>
      <c r="E38">
        <v>0</v>
      </c>
      <c r="F38">
        <v>0.67475350327047334</v>
      </c>
      <c r="G38">
        <v>0.70466766298152661</v>
      </c>
      <c r="H38">
        <v>0.54177697146845993</v>
      </c>
      <c r="M38">
        <f>MIN(B38:D38,F38:K38)</f>
        <v>0.54177697146845993</v>
      </c>
    </row>
    <row r="39" spans="1:19">
      <c r="A39" t="s">
        <v>10</v>
      </c>
      <c r="B39">
        <v>0.63927193200263677</v>
      </c>
      <c r="C39">
        <v>0.64263163912009436</v>
      </c>
      <c r="D39">
        <v>0.65359537850343763</v>
      </c>
      <c r="E39">
        <v>0.67475350327047334</v>
      </c>
      <c r="F39">
        <v>0</v>
      </c>
      <c r="G39">
        <v>0.55969523741374716</v>
      </c>
      <c r="H39">
        <v>0.66645094072418531</v>
      </c>
      <c r="M39">
        <f>MIN(B39:E39,G39:K39)</f>
        <v>0.55969523741374716</v>
      </c>
    </row>
    <row r="40" spans="1:19">
      <c r="A40" t="s">
        <v>39</v>
      </c>
      <c r="B40">
        <v>0.69296099574921333</v>
      </c>
      <c r="C40">
        <v>0.62139091655059286</v>
      </c>
      <c r="D40">
        <v>0.64091539554308408</v>
      </c>
      <c r="E40">
        <v>0.70466766298152661</v>
      </c>
      <c r="F40">
        <v>0.55969523741374716</v>
      </c>
      <c r="G40">
        <v>0</v>
      </c>
      <c r="H40">
        <v>0.7105739023459946</v>
      </c>
      <c r="M40">
        <f>MIN(B40:F40,H40:K40)</f>
        <v>0.55969523741374716</v>
      </c>
    </row>
    <row r="41" spans="1:19">
      <c r="A41" t="s">
        <v>41</v>
      </c>
      <c r="B41">
        <f>I25</f>
        <v>0.60260194744007756</v>
      </c>
      <c r="C41">
        <f>I27</f>
        <v>0.62228834295980517</v>
      </c>
      <c r="D41">
        <f>I28</f>
        <v>0.61651501186667501</v>
      </c>
      <c r="E41">
        <f>I29</f>
        <v>0.54177697146845993</v>
      </c>
      <c r="F41">
        <f>I30</f>
        <v>0.66645094072418531</v>
      </c>
      <c r="G41">
        <f>I31</f>
        <v>0.7105739023459946</v>
      </c>
      <c r="H41">
        <v>0</v>
      </c>
      <c r="M41">
        <f>MIN(B41:G41,I41:K41)</f>
        <v>0.54177697146845993</v>
      </c>
    </row>
    <row r="43" spans="1:19">
      <c r="B43" t="s">
        <v>1</v>
      </c>
      <c r="C43" t="s">
        <v>9</v>
      </c>
      <c r="D43" t="s">
        <v>10</v>
      </c>
      <c r="E43" t="s">
        <v>39</v>
      </c>
      <c r="F43" t="s">
        <v>41</v>
      </c>
      <c r="G43" t="s">
        <v>42</v>
      </c>
    </row>
    <row r="44" spans="1:19">
      <c r="A44" t="s">
        <v>1</v>
      </c>
      <c r="B44">
        <v>0</v>
      </c>
      <c r="C44">
        <v>0.56213518204384572</v>
      </c>
      <c r="D44">
        <v>0.63927193200263677</v>
      </c>
      <c r="E44">
        <v>0.69296099574921333</v>
      </c>
      <c r="F44">
        <v>0.60260194744007756</v>
      </c>
      <c r="G44">
        <v>0.58546962001213776</v>
      </c>
      <c r="M44">
        <f>MIN(C44:K44)</f>
        <v>0.56213518204384572</v>
      </c>
    </row>
    <row r="45" spans="1:19">
      <c r="A45" t="s">
        <v>9</v>
      </c>
      <c r="B45">
        <v>0.56213518204384572</v>
      </c>
      <c r="C45">
        <v>0</v>
      </c>
      <c r="D45">
        <v>0.67475350327047334</v>
      </c>
      <c r="E45">
        <v>0.70466766298152661</v>
      </c>
      <c r="F45">
        <v>0.54177697146845993</v>
      </c>
      <c r="G45">
        <v>0.61041165338773518</v>
      </c>
      <c r="M45" s="13">
        <f>MIN(B45,D45:K45)</f>
        <v>0.54177697146845993</v>
      </c>
      <c r="O45" t="s">
        <v>9</v>
      </c>
      <c r="P45" t="s">
        <v>41</v>
      </c>
      <c r="Q45">
        <v>8</v>
      </c>
      <c r="R45">
        <v>12</v>
      </c>
      <c r="S45">
        <v>14</v>
      </c>
    </row>
    <row r="46" spans="1:19">
      <c r="A46" t="s">
        <v>10</v>
      </c>
      <c r="B46">
        <v>0.63927193200263677</v>
      </c>
      <c r="C46">
        <v>0.67475350327047334</v>
      </c>
      <c r="D46">
        <v>0</v>
      </c>
      <c r="E46">
        <v>0.55969523741374716</v>
      </c>
      <c r="F46">
        <v>0.66645094072418531</v>
      </c>
      <c r="G46">
        <v>0.64263163912009436</v>
      </c>
      <c r="M46">
        <f>MIN(B46:C46,E46:K46)</f>
        <v>0.55969523741374716</v>
      </c>
    </row>
    <row r="47" spans="1:19">
      <c r="A47" t="s">
        <v>39</v>
      </c>
      <c r="B47">
        <v>0.69296099574921333</v>
      </c>
      <c r="C47">
        <v>0.70466766298152661</v>
      </c>
      <c r="D47">
        <v>0.55969523741374716</v>
      </c>
      <c r="E47">
        <v>0</v>
      </c>
      <c r="F47">
        <v>0.7105739023459946</v>
      </c>
      <c r="G47">
        <v>0.62139091655059286</v>
      </c>
      <c r="M47">
        <f>MIN(B47:D47,F47:K47)</f>
        <v>0.55969523741374716</v>
      </c>
    </row>
    <row r="48" spans="1:19">
      <c r="A48" t="s">
        <v>41</v>
      </c>
      <c r="B48">
        <v>0.60260194744007756</v>
      </c>
      <c r="C48">
        <v>0.54177697146845993</v>
      </c>
      <c r="D48">
        <v>0.66645094072418531</v>
      </c>
      <c r="E48">
        <v>0.7105739023459946</v>
      </c>
      <c r="F48">
        <v>0</v>
      </c>
      <c r="G48">
        <v>0.61651501186667501</v>
      </c>
      <c r="M48">
        <f>MIN(B48:E48,G48:K48)</f>
        <v>0.54177697146845993</v>
      </c>
    </row>
    <row r="49" spans="1:19">
      <c r="A49" t="s">
        <v>42</v>
      </c>
      <c r="B49">
        <f>C35</f>
        <v>0.58546962001213776</v>
      </c>
      <c r="C49">
        <f>D38</f>
        <v>0.61041165338773518</v>
      </c>
      <c r="D49">
        <f>C39</f>
        <v>0.64263163912009436</v>
      </c>
      <c r="E49">
        <f>C40</f>
        <v>0.62139091655059286</v>
      </c>
      <c r="F49">
        <f>D41</f>
        <v>0.61651501186667501</v>
      </c>
      <c r="G49">
        <v>0</v>
      </c>
      <c r="M49">
        <f>MIN(B49:F49,H49:K49)</f>
        <v>0.58546962001213776</v>
      </c>
    </row>
    <row r="51" spans="1:19">
      <c r="B51" t="s">
        <v>1</v>
      </c>
      <c r="C51" t="s">
        <v>10</v>
      </c>
      <c r="D51" t="s">
        <v>39</v>
      </c>
      <c r="E51" t="s">
        <v>42</v>
      </c>
      <c r="F51" t="s">
        <v>43</v>
      </c>
    </row>
    <row r="52" spans="1:19">
      <c r="A52" t="s">
        <v>1</v>
      </c>
      <c r="B52">
        <v>0</v>
      </c>
      <c r="C52">
        <v>0.63927193200263677</v>
      </c>
      <c r="D52">
        <v>0.69296099574921333</v>
      </c>
      <c r="E52">
        <v>0.58546962001213776</v>
      </c>
      <c r="F52">
        <v>0.56213518204384572</v>
      </c>
      <c r="M52">
        <f>MIN(C52:K52)</f>
        <v>0.56213518204384572</v>
      </c>
    </row>
    <row r="53" spans="1:19">
      <c r="A53" t="s">
        <v>10</v>
      </c>
      <c r="B53">
        <v>0.63927193200263677</v>
      </c>
      <c r="C53">
        <v>0</v>
      </c>
      <c r="D53">
        <v>0.55969523741374716</v>
      </c>
      <c r="E53">
        <v>0.64263163912009436</v>
      </c>
      <c r="F53">
        <v>0.66645094072418531</v>
      </c>
      <c r="M53" s="13">
        <f>MIN(B53,D53:K53)</f>
        <v>0.55969523741374716</v>
      </c>
      <c r="O53" t="s">
        <v>10</v>
      </c>
      <c r="P53" t="s">
        <v>39</v>
      </c>
      <c r="Q53">
        <v>9</v>
      </c>
      <c r="R53">
        <v>10</v>
      </c>
      <c r="S53">
        <v>15</v>
      </c>
    </row>
    <row r="54" spans="1:19">
      <c r="A54" t="s">
        <v>39</v>
      </c>
      <c r="B54">
        <v>0.69296099574921333</v>
      </c>
      <c r="C54">
        <v>0.55969523741374716</v>
      </c>
      <c r="D54">
        <v>0</v>
      </c>
      <c r="E54">
        <v>0.62139091655059286</v>
      </c>
      <c r="F54">
        <v>0.70466766298152661</v>
      </c>
      <c r="M54">
        <f>MIN(B54:C54,E54:K54)</f>
        <v>0.55969523741374716</v>
      </c>
    </row>
    <row r="55" spans="1:19">
      <c r="A55" t="s">
        <v>42</v>
      </c>
      <c r="B55">
        <v>0.58546962001213776</v>
      </c>
      <c r="C55">
        <v>0.64263163912009436</v>
      </c>
      <c r="D55">
        <v>0.62139091655059286</v>
      </c>
      <c r="E55">
        <v>0</v>
      </c>
      <c r="F55">
        <v>0.61041165338773518</v>
      </c>
      <c r="M55">
        <f>MIN(B55:D55,F55:K55)</f>
        <v>0.58546962001213776</v>
      </c>
    </row>
    <row r="56" spans="1:19">
      <c r="A56" t="s">
        <v>43</v>
      </c>
      <c r="B56">
        <f>C44</f>
        <v>0.56213518204384572</v>
      </c>
      <c r="C56">
        <f>F46</f>
        <v>0.66645094072418531</v>
      </c>
      <c r="D56">
        <f>C47</f>
        <v>0.70466766298152661</v>
      </c>
      <c r="E56">
        <f>C49</f>
        <v>0.61041165338773518</v>
      </c>
      <c r="F56">
        <v>0</v>
      </c>
      <c r="M56">
        <f>MIN(B56:E56,G56:K56)</f>
        <v>0.56213518204384572</v>
      </c>
    </row>
    <row r="58" spans="1:19">
      <c r="B58" t="s">
        <v>1</v>
      </c>
      <c r="C58" t="s">
        <v>42</v>
      </c>
      <c r="D58" t="s">
        <v>43</v>
      </c>
      <c r="E58" t="s">
        <v>44</v>
      </c>
    </row>
    <row r="59" spans="1:19">
      <c r="A59" t="s">
        <v>1</v>
      </c>
      <c r="B59">
        <v>0</v>
      </c>
      <c r="C59">
        <v>0.58546962001213776</v>
      </c>
      <c r="D59">
        <v>0.56213518204384572</v>
      </c>
      <c r="E59">
        <v>0.69296099574921333</v>
      </c>
      <c r="M59" s="13">
        <f>MIN(C59:K59)</f>
        <v>0.56213518204384572</v>
      </c>
      <c r="O59" t="s">
        <v>1</v>
      </c>
      <c r="P59" t="s">
        <v>43</v>
      </c>
      <c r="Q59">
        <v>0</v>
      </c>
      <c r="R59">
        <v>14</v>
      </c>
      <c r="S59">
        <v>16</v>
      </c>
    </row>
    <row r="60" spans="1:19">
      <c r="A60" t="s">
        <v>42</v>
      </c>
      <c r="B60">
        <v>0.58546962001213776</v>
      </c>
      <c r="C60">
        <v>0</v>
      </c>
      <c r="D60">
        <v>0.61041165338773518</v>
      </c>
      <c r="E60">
        <v>0.62139091655059286</v>
      </c>
      <c r="M60">
        <f>MIN(B60,D60:K60)</f>
        <v>0.58546962001213776</v>
      </c>
    </row>
    <row r="61" spans="1:19">
      <c r="A61" t="s">
        <v>43</v>
      </c>
      <c r="B61">
        <v>0.56213518204384572</v>
      </c>
      <c r="C61">
        <v>0.61041165338773518</v>
      </c>
      <c r="D61">
        <v>0</v>
      </c>
      <c r="E61">
        <v>0.66645094072418531</v>
      </c>
      <c r="M61">
        <f>MIN(B61:C61,E61:K61)</f>
        <v>0.56213518204384572</v>
      </c>
    </row>
    <row r="62" spans="1:19">
      <c r="A62" t="s">
        <v>44</v>
      </c>
      <c r="B62">
        <f>D52</f>
        <v>0.69296099574921333</v>
      </c>
      <c r="C62">
        <f>D55</f>
        <v>0.62139091655059286</v>
      </c>
      <c r="D62">
        <f>C56</f>
        <v>0.66645094072418531</v>
      </c>
      <c r="E62">
        <v>0</v>
      </c>
      <c r="M62">
        <f>MIN(B62:D62,F62:K62)</f>
        <v>0.62139091655059286</v>
      </c>
    </row>
    <row r="64" spans="1:19">
      <c r="B64" t="s">
        <v>42</v>
      </c>
      <c r="C64" t="s">
        <v>44</v>
      </c>
      <c r="D64" t="s">
        <v>45</v>
      </c>
    </row>
    <row r="65" spans="1:19">
      <c r="A65" t="s">
        <v>42</v>
      </c>
      <c r="B65">
        <v>0</v>
      </c>
      <c r="C65">
        <v>0.62139091655059286</v>
      </c>
      <c r="D65">
        <f>B67</f>
        <v>0.58546962001213776</v>
      </c>
      <c r="M65" s="13">
        <f>MIN(C65:K65)</f>
        <v>0.58546962001213776</v>
      </c>
      <c r="O65" t="s">
        <v>42</v>
      </c>
      <c r="P65" t="s">
        <v>45</v>
      </c>
      <c r="Q65">
        <v>13</v>
      </c>
      <c r="R65">
        <v>16</v>
      </c>
      <c r="S65">
        <v>17</v>
      </c>
    </row>
    <row r="66" spans="1:19">
      <c r="A66" t="s">
        <v>44</v>
      </c>
      <c r="B66">
        <v>0.62139091655059286</v>
      </c>
      <c r="C66">
        <v>0</v>
      </c>
      <c r="D66">
        <f>C67</f>
        <v>0.66645094072418531</v>
      </c>
      <c r="M66">
        <f>MIN(B66,D66:K66)</f>
        <v>0.62139091655059286</v>
      </c>
    </row>
    <row r="67" spans="1:19">
      <c r="A67" t="s">
        <v>45</v>
      </c>
      <c r="B67">
        <f>B60</f>
        <v>0.58546962001213776</v>
      </c>
      <c r="C67">
        <f>D62</f>
        <v>0.66645094072418531</v>
      </c>
      <c r="D67">
        <v>0</v>
      </c>
      <c r="M67">
        <f>MIN(B67:C67,E67:K67)</f>
        <v>0.58546962001213776</v>
      </c>
    </row>
    <row r="69" spans="1:19">
      <c r="B69" t="s">
        <v>44</v>
      </c>
    </row>
    <row r="70" spans="1:19">
      <c r="A70" t="s">
        <v>44</v>
      </c>
      <c r="B70">
        <v>0</v>
      </c>
      <c r="C70">
        <f>B71</f>
        <v>0.62139091655059286</v>
      </c>
      <c r="M70" s="13">
        <f>MIN(C70:K70)</f>
        <v>0.62139091655059286</v>
      </c>
      <c r="Q70">
        <v>15</v>
      </c>
      <c r="R70">
        <v>17</v>
      </c>
      <c r="S70">
        <v>18</v>
      </c>
    </row>
    <row r="71" spans="1:19">
      <c r="A71" t="s">
        <v>46</v>
      </c>
      <c r="B71">
        <f>B66</f>
        <v>0.62139091655059286</v>
      </c>
      <c r="C71">
        <v>0</v>
      </c>
      <c r="M71">
        <f>MIN(B71,D71:K71)</f>
        <v>0.62139091655059286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Datenabzug</vt:lpstr>
      <vt:lpstr>Returns</vt:lpstr>
      <vt:lpstr>BAKO</vt:lpstr>
      <vt:lpstr>Kovarianz</vt:lpstr>
      <vt:lpstr>Korrelation</vt:lpstr>
      <vt:lpstr>EW</vt:lpstr>
      <vt:lpstr>MV</vt:lpstr>
      <vt:lpstr>MD</vt:lpstr>
      <vt:lpstr>IV</vt:lpstr>
      <vt:lpstr>ERC</vt:lpstr>
      <vt:lpstr>HRP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Meier</dc:creator>
  <cp:lastModifiedBy>Raphael Meier</cp:lastModifiedBy>
  <dcterms:created xsi:type="dcterms:W3CDTF">2025-08-05T11:10:25Z</dcterms:created>
  <dcterms:modified xsi:type="dcterms:W3CDTF">2025-12-02T19:28:38Z</dcterms:modified>
</cp:coreProperties>
</file>